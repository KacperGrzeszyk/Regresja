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cpe\Downloads\"/>
    </mc:Choice>
  </mc:AlternateContent>
  <xr:revisionPtr revIDLastSave="0" documentId="13_ncr:1_{52242F03-352F-49C2-8565-576979A3D5D4}" xr6:coauthVersionLast="47" xr6:coauthVersionMax="47" xr10:uidLastSave="{00000000-0000-0000-0000-000000000000}"/>
  <bookViews>
    <workbookView xWindow="38280" yWindow="-120" windowWidth="29040" windowHeight="15720" firstSheet="7" activeTab="11" xr2:uid="{00000000-000D-0000-FFFF-FFFF00000000}"/>
  </bookViews>
  <sheets>
    <sheet name="Dane" sheetId="1" r:id="rId1"/>
    <sheet name="1. Opis danych" sheetId="15" r:id="rId2"/>
    <sheet name="2. Dobór zmiennych" sheetId="2" r:id="rId3"/>
    <sheet name="3a. Obserwacje nietypowe" sheetId="16" r:id="rId4"/>
    <sheet name="3b. Współliniowość" sheetId="4" r:id="rId5"/>
    <sheet name="4. Istotność parametrów" sheetId="14" r:id="rId6"/>
    <sheet name="5. Dopasowanie modelu do danych" sheetId="3" r:id="rId7"/>
    <sheet name="6. Badanie losowości" sheetId="5" r:id="rId8"/>
    <sheet name="7. Badanie normalności" sheetId="6" r:id="rId9"/>
    <sheet name="8. Badanie braku autokorelacji " sheetId="7" r:id="rId10"/>
    <sheet name="9. Badanie homoskedastyczności" sheetId="8" r:id="rId11"/>
    <sheet name="10. WNIOSKI" sheetId="9" r:id="rId12"/>
  </sheets>
  <externalReferences>
    <externalReference r:id="rId13"/>
  </externalReferences>
  <definedNames>
    <definedName name="solver_eng" localSheetId="9" hidden="1">1</definedName>
    <definedName name="solver_neg" localSheetId="9" hidden="1">1</definedName>
    <definedName name="solver_num" localSheetId="9" hidden="1">0</definedName>
    <definedName name="solver_opt" localSheetId="9" hidden="1">'8. Badanie braku autokorelacji '!#REF!</definedName>
    <definedName name="solver_typ" localSheetId="9" hidden="1">1</definedName>
    <definedName name="solver_val" localSheetId="9" hidden="1">0</definedName>
    <definedName name="solver_ver" localSheetId="9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7" i="8" l="1"/>
  <c r="K54" i="8"/>
  <c r="L57" i="8" s="1"/>
  <c r="K51" i="8"/>
  <c r="K50" i="8"/>
  <c r="K47" i="8"/>
  <c r="H25" i="5"/>
  <c r="H18" i="5"/>
  <c r="H23" i="5" s="1"/>
  <c r="H17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6" i="5"/>
  <c r="C22" i="6"/>
  <c r="C16" i="6"/>
  <c r="C14" i="6" s="1"/>
  <c r="C15" i="6"/>
  <c r="C13" i="6" s="1"/>
  <c r="J46" i="6"/>
  <c r="K46" i="6"/>
  <c r="C17" i="6" s="1"/>
  <c r="L46" i="6"/>
  <c r="M46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8" i="6"/>
  <c r="B16" i="3"/>
  <c r="B13" i="3"/>
  <c r="B10" i="3"/>
  <c r="B28" i="4"/>
  <c r="H12" i="2"/>
  <c r="I12" i="2"/>
  <c r="J12" i="2"/>
  <c r="K12" i="2"/>
  <c r="L12" i="2"/>
  <c r="M12" i="2"/>
  <c r="E12" i="2"/>
  <c r="F12" i="2"/>
  <c r="G12" i="2"/>
  <c r="D12" i="2"/>
  <c r="C12" i="2"/>
  <c r="C20" i="6" l="1"/>
  <c r="H22" i="5"/>
  <c r="H24" i="5" s="1"/>
</calcChain>
</file>

<file path=xl/sharedStrings.xml><?xml version="1.0" encoding="utf-8"?>
<sst xmlns="http://schemas.openxmlformats.org/spreadsheetml/2006/main" count="541" uniqueCount="278">
  <si>
    <t xml:space="preserve">Tu należy zamieścić analizowane dane. </t>
  </si>
  <si>
    <t>Proszę krótko scharakteryzować dane: (przedstawić źródło danych, podać jednostki, w jakich wyrażane są poszczególne zmienne), zaprezentować wykresy X-Y zależności zmiennej objaśnianej od poszczególnych potencjalnych zmiennych objaśniających).</t>
  </si>
  <si>
    <t>Na początku proszę sprawdzić czy występują zmienne quasi-stałe.</t>
  </si>
  <si>
    <t>Potem należy zastosować jedną z metod doboru zmiennych objaśniających, np.:</t>
  </si>
  <si>
    <t>metodę analizy współczynników korelacji</t>
  </si>
  <si>
    <t>metodę Hellwiga</t>
  </si>
  <si>
    <t>metody regresji krokowej</t>
  </si>
  <si>
    <t>Wykrywanie obserwacji nietypowych</t>
  </si>
  <si>
    <t>Należy w analizie uwzględnić:</t>
  </si>
  <si>
    <t>identyfikację obserwacji odstających</t>
  </si>
  <si>
    <t>identyfikację obserwacji dźwigniowych</t>
  </si>
  <si>
    <t>identyfikację obserwacji wpływowych</t>
  </si>
  <si>
    <t>Jeśli usuną Państwo jakąś obserwację, to warto ponownie przeprowadzić dobór zmiennych.</t>
  </si>
  <si>
    <t>Badanie współliniowości</t>
  </si>
  <si>
    <t>Należy w analizie wykorzystać czynnik inflacji wariancji:</t>
  </si>
  <si>
    <t>VIF* = 10</t>
  </si>
  <si>
    <r>
      <t>VIF</t>
    </r>
    <r>
      <rPr>
        <vertAlign val="subscript"/>
        <sz val="11"/>
        <color theme="1"/>
        <rFont val="Calibri"/>
        <family val="2"/>
        <charset val="238"/>
        <scheme val="minor"/>
      </rPr>
      <t>k</t>
    </r>
    <r>
      <rPr>
        <sz val="11"/>
        <color theme="1"/>
        <rFont val="Calibri"/>
        <family val="2"/>
        <charset val="238"/>
        <scheme val="minor"/>
      </rPr>
      <t xml:space="preserve"> - czynnik inflacji wariancji</t>
    </r>
  </si>
  <si>
    <r>
      <t>R</t>
    </r>
    <r>
      <rPr>
        <vertAlign val="superscript"/>
        <sz val="11"/>
        <color theme="1"/>
        <rFont val="Calibri"/>
        <family val="2"/>
        <charset val="238"/>
        <scheme val="minor"/>
      </rPr>
      <t xml:space="preserve">2 </t>
    </r>
    <r>
      <rPr>
        <sz val="11"/>
        <color theme="1"/>
        <rFont val="Calibri"/>
        <family val="2"/>
        <charset val="238"/>
        <scheme val="minor"/>
      </rPr>
      <t>- współczynnik determinacji (dla oszacowanego modelu pomocniczego, w którym jedna ze zmiennych objaśniających jest zmienną objaśnianą)</t>
    </r>
  </si>
  <si>
    <t>W tym arkuszu należy zamieścić wyniki weryfikacji istotności parametrów strukturalnych modelu</t>
  </si>
  <si>
    <t xml:space="preserve">W szczególności, proszę  tu napisać: </t>
  </si>
  <si>
    <t>Jakie hipotezy są weryfikowane?</t>
  </si>
  <si>
    <t>Jaka jest metoda weryfikacji tych hipotez?</t>
  </si>
  <si>
    <t>Jakie są wnioski dotyczące istotności parametrów strukturalnych?</t>
  </si>
  <si>
    <t>W tym arkuszu należy zamieścić wyniki dotyczące zgodności modelu z danymi empirycznymi</t>
  </si>
  <si>
    <t xml:space="preserve">W szczególności, proszę  zinterpretować: </t>
  </si>
  <si>
    <t>odchylenie standardowe reszt (standardowy błąd estymacji modelu)</t>
  </si>
  <si>
    <t>współczynnik determinacji</t>
  </si>
  <si>
    <t>współczynnik korelacji wielorakiej</t>
  </si>
  <si>
    <t>Badanie losowości składnika epsylon</t>
  </si>
  <si>
    <t>Jaka hipoteza jest weryfikowana?</t>
  </si>
  <si>
    <t>Jaka jest metoda weryfikacji tej hipotezy?</t>
  </si>
  <si>
    <t>Jakie są wnioski uzyskane na podstawie zastosowanego testu?</t>
  </si>
  <si>
    <t xml:space="preserve">Testy weryfikujące normalność rozkładu składnika losowego </t>
  </si>
  <si>
    <t>Uwaga:</t>
  </si>
  <si>
    <r>
      <t xml:space="preserve">test Shapiro-Wilka, dla </t>
    </r>
    <r>
      <rPr>
        <i/>
        <sz val="12"/>
        <color theme="1"/>
        <rFont val="Calibri"/>
        <family val="2"/>
        <charset val="238"/>
        <scheme val="minor"/>
      </rPr>
      <t>n</t>
    </r>
    <r>
      <rPr>
        <sz val="12"/>
        <color theme="1"/>
        <rFont val="Calibri"/>
        <family val="2"/>
        <charset val="238"/>
        <scheme val="minor"/>
      </rPr>
      <t xml:space="preserve"> z zakresu [4; 2000]</t>
    </r>
  </si>
  <si>
    <r>
      <t xml:space="preserve">test Jarque'a-Bera dla bardzo dużych </t>
    </r>
    <r>
      <rPr>
        <i/>
        <sz val="12"/>
        <color theme="1"/>
        <rFont val="Calibri"/>
        <family val="2"/>
        <charset val="238"/>
        <scheme val="minor"/>
      </rPr>
      <t>n</t>
    </r>
  </si>
  <si>
    <t>W Gretlu domyślnie jest wykonywany test Doornika-Hansena. Aby wykonać test Shapiro-Wilka, reszty trzeba wcześniej zapisać. Następnie, najechać na tę zmienną w menu głównym i wybrać opcję Zmienna → testy normalności rozkładu.</t>
  </si>
  <si>
    <r>
      <t xml:space="preserve">Można także wykonać polecenie skryptowe 'normtest </t>
    </r>
    <r>
      <rPr>
        <i/>
        <sz val="12"/>
        <color theme="1"/>
        <rFont val="Calibri"/>
        <family val="2"/>
        <charset val="238"/>
        <scheme val="minor"/>
      </rPr>
      <t>nazwareszt</t>
    </r>
    <r>
      <rPr>
        <sz val="12"/>
        <color theme="1"/>
        <rFont val="Calibri"/>
        <family val="2"/>
        <charset val="238"/>
        <scheme val="minor"/>
      </rPr>
      <t xml:space="preserve"> --dhansen' lub --swilk lub --jbera. Np. aby uzyskać wynik testu Shapiro-Wilka należy w menu głównym wybrać opcję Plik &gt; Plik poleceń skryptowych &gt; nowy plik skryptowy &gt; skrypt gretla: normtest </t>
    </r>
    <r>
      <rPr>
        <i/>
        <sz val="12"/>
        <color theme="1"/>
        <rFont val="Calibri"/>
        <family val="2"/>
        <charset val="238"/>
        <scheme val="minor"/>
      </rPr>
      <t>nazwareszt</t>
    </r>
  </si>
  <si>
    <t>--swilk</t>
  </si>
  <si>
    <t>Uwaga: reszty trzeba wcześniej zapisać.</t>
  </si>
  <si>
    <t>Autokorelację należy zbadać dla szeregów czasowych</t>
  </si>
  <si>
    <t xml:space="preserve">W sytuacji, gdy analizują Państwo dane przekrojowe, w celu sprawdzenia Państwa wiedzy, proszę także wykonać w tym opracowaniu badanie autokorelacji. </t>
  </si>
  <si>
    <t>Wcześniej jednak proszę posortować dane, np. wg jednej ze zmiennych objaśniających</t>
  </si>
  <si>
    <t xml:space="preserve">Testy weryfikujące autokorelację składnika losowego </t>
  </si>
  <si>
    <t>test Durbina-Watsona</t>
  </si>
  <si>
    <t>test Breuscha-Godfreya  - dla dużych prób</t>
  </si>
  <si>
    <t xml:space="preserve">Testy weryfikujące homoskedastyczność rozkładu składnika losowego </t>
  </si>
  <si>
    <t xml:space="preserve">Testy weryfikujące homoskedastyczności składnika losowego </t>
  </si>
  <si>
    <t>test Goldfelda-Quandta</t>
  </si>
  <si>
    <t>test White'a i Harveya-Godfreya  - dla dużych prób</t>
  </si>
  <si>
    <t xml:space="preserve">Ogólny komentarz dotyczący modelu </t>
  </si>
  <si>
    <t>W szczególności:</t>
  </si>
  <si>
    <t>czy model spełnia nałożone na niego założenia?</t>
  </si>
  <si>
    <t>czy jest dobrze dopasowany do danych, itp.?</t>
  </si>
  <si>
    <t>jaka jest nterpretacja merytoryczna oszacowanych parametrów?</t>
  </si>
  <si>
    <t>czy proces modelowania zakończyl się sukcesem czy porażką?</t>
  </si>
  <si>
    <t xml:space="preserve">Uwaga:  nisko będą punktowane opracowania zawierające interpretację typu: </t>
  </si>
  <si>
    <t>"jak X1 wzrasta o 1 to Y o wzrasta 0,7, ceteris paribus".</t>
  </si>
  <si>
    <t>Uwaga: ważne jest sprawdzenie, czy znaki oszacowań parametrów przy zmiennych są odpowiednie,</t>
  </si>
  <si>
    <t xml:space="preserve"> to znaczy czy mają sens ekonomiczny i zdroworozsadkowy.</t>
  </si>
  <si>
    <t>y gdp lg</t>
  </si>
  <si>
    <t>X1Patent applications, nonresidents</t>
  </si>
  <si>
    <t>X2Population ages 05-09, female (% of female population)</t>
  </si>
  <si>
    <t>X3Survival to age 65 male</t>
  </si>
  <si>
    <t>X4domestic companies, t</t>
  </si>
  <si>
    <t>X5Imports of goods and services (% of GDP)=x2</t>
  </si>
  <si>
    <t>X6Exports of goods and services (% of GDP)</t>
  </si>
  <si>
    <t xml:space="preserve">X7 Total reserves (includes gold, current US$) </t>
  </si>
  <si>
    <t>X8 x%Inflation, consumer prices (annual %)</t>
  </si>
  <si>
    <t>X9Population, total</t>
  </si>
  <si>
    <t>X10Population growth (annual %)</t>
  </si>
  <si>
    <t>X11Life expectancy at birth, total (years)</t>
  </si>
  <si>
    <t>Y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</si>
  <si>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</si>
  <si>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</si>
  <si>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</si>
  <si>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</si>
  <si>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</si>
  <si>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</si>
  <si>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</si>
  <si>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</si>
  <si>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</si>
  <si>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</si>
  <si>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</si>
  <si>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Zlogarytmowane naturalnie w dolarach Amerykańskich</t>
  </si>
  <si>
    <t>% damskiej populacji</t>
  </si>
  <si>
    <t>% meskiej populacji</t>
  </si>
  <si>
    <t>tysiącach sztuk</t>
  </si>
  <si>
    <t>liczba zgłoszeń patentowychn w tyś sztuk</t>
  </si>
  <si>
    <t>% GDP</t>
  </si>
  <si>
    <t>US$</t>
  </si>
  <si>
    <t>%</t>
  </si>
  <si>
    <t>w szt</t>
  </si>
  <si>
    <t>lata</t>
  </si>
  <si>
    <t>Quasi-stałe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</si>
  <si>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</si>
  <si>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</si>
  <si>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</si>
  <si>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</si>
  <si>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</si>
  <si>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</si>
  <si>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</si>
  <si>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</si>
  <si>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</si>
  <si>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</si>
  <si>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</si>
  <si>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V*=</t>
  </si>
  <si>
    <t>H0: zmienna jest quasi-stała</t>
  </si>
  <si>
    <t>H1: zmienna nie jest quasi-stała</t>
  </si>
  <si>
    <t xml:space="preserve">Odp: Odrzucamy x11, ponieważ V11 jest mniejsze od V*, stąd wiemy, że zmienna x11 jest quasi-stała. Przyjmujemy H0. Dla zmiennych, x1,x2,x3,x4,x5,x6,x7,x8,x9,10 odrzucamy H0 na rzecz hipotezy h1, stąd wiemy że te zmienne nie są quasi-stałe. </t>
  </si>
  <si>
    <t>Regresja krokowa w tył</t>
  </si>
  <si>
    <t>PODSUMOWANIE - WYJŚCIE</t>
  </si>
  <si>
    <t>Statystyki regresji</t>
  </si>
  <si>
    <t>Wielokrotność R</t>
  </si>
  <si>
    <t>R kwadrat</t>
  </si>
  <si>
    <t>Dopasowany R kwadrat</t>
  </si>
  <si>
    <t>Błąd standardowy</t>
  </si>
  <si>
    <t>Obserwacje</t>
  </si>
  <si>
    <t>ANALIZA WARIANCJI</t>
  </si>
  <si>
    <t>df</t>
  </si>
  <si>
    <t>SS</t>
  </si>
  <si>
    <t>MS</t>
  </si>
  <si>
    <t>F</t>
  </si>
  <si>
    <t>Istotność F</t>
  </si>
  <si>
    <t>Regresja</t>
  </si>
  <si>
    <t>Resztkowy</t>
  </si>
  <si>
    <t>Razem</t>
  </si>
  <si>
    <t>Współczynniki</t>
  </si>
  <si>
    <t>t Stat</t>
  </si>
  <si>
    <t>Wartość-p</t>
  </si>
  <si>
    <t>Dolne 95%</t>
  </si>
  <si>
    <t>Górne 95%</t>
  </si>
  <si>
    <t>Dolne 95,0%</t>
  </si>
  <si>
    <t>Górne 95,0%</t>
  </si>
  <si>
    <t>Przecięcie</t>
  </si>
  <si>
    <t>Zmienna X 1</t>
  </si>
  <si>
    <t>Zmienna X 2</t>
  </si>
  <si>
    <t>Zmienna X 3</t>
  </si>
  <si>
    <t>Zmienna X 4</t>
  </si>
  <si>
    <t>Zmienna X 5</t>
  </si>
  <si>
    <t>Zmienna X 6</t>
  </si>
  <si>
    <t>Zmienna X 7</t>
  </si>
  <si>
    <t>Zmienna X 8</t>
  </si>
  <si>
    <t>Zmienna X 9</t>
  </si>
  <si>
    <t>Zmienna X 10</t>
  </si>
  <si>
    <t>H0:B7=0</t>
  </si>
  <si>
    <t>H1:B7!=0</t>
  </si>
  <si>
    <t>Odrzucamy x7 bo jest najmniej istotne</t>
  </si>
  <si>
    <t>H0:B4=0</t>
  </si>
  <si>
    <t>H1:B4!=0</t>
  </si>
  <si>
    <t>Odrzucamy x4 bo jest najmniej istotne</t>
  </si>
  <si>
    <t>H0:B5=0</t>
  </si>
  <si>
    <t>H1:B5!=0</t>
  </si>
  <si>
    <t>Odrzucamy x5 bo jest najmniej istotne</t>
  </si>
  <si>
    <t>H0:B8=0</t>
  </si>
  <si>
    <t>H1:B8!=0</t>
  </si>
  <si>
    <t>Odrzucamy x8bo jest najmniej istotne</t>
  </si>
  <si>
    <t>H0:B10=0</t>
  </si>
  <si>
    <t>H1:B10!=0</t>
  </si>
  <si>
    <t>Odrzucamy x10bo jest najmniej istotne</t>
  </si>
  <si>
    <t>brak obserwacji wplywowych , 2 obserwacje dzwigniowe ale nie wplywowe</t>
  </si>
  <si>
    <t>Obs nietypowe</t>
  </si>
  <si>
    <t>Brak obserwacji nietypowych</t>
  </si>
  <si>
    <t>VIFk</t>
  </si>
  <si>
    <t>H0</t>
  </si>
  <si>
    <t>Brak wspolliniowsci modelu</t>
  </si>
  <si>
    <t>H1</t>
  </si>
  <si>
    <t>Wystepuje wspolliniowsc modelu</t>
  </si>
  <si>
    <t>VIFk&gt;10</t>
  </si>
  <si>
    <t>Odrzucamy H0  występuje współliniowść modelu</t>
  </si>
  <si>
    <t>dla modelu zm objasniana x1 a zm obajsniajace x2 x5 x6</t>
  </si>
  <si>
    <t>Wystepuje inflacja która zakłóca model</t>
  </si>
  <si>
    <t>H0 Bi=0</t>
  </si>
  <si>
    <t>H1 Bi!=0</t>
  </si>
  <si>
    <t>We wszytkich odrzucamy H0 , parametry sa istotne</t>
  </si>
  <si>
    <t>Metoda weryfikacji istotnosci testem t studenta</t>
  </si>
  <si>
    <t xml:space="preserve">wsp korelacji wielorakiej </t>
  </si>
  <si>
    <t>odch standreszt</t>
  </si>
  <si>
    <t>Wartosci obserwowane roznia się srednio o 0,07049 od wartosci wyliczonych przez model</t>
  </si>
  <si>
    <t>Jak silnie wszystkie zm objasniajace wplywaja razem na zm. Objasniana - wystepuje bardzo silnie korelacja dodatnia wzrost jednej zm wiaze się z znacznym wzorstem zm. Objasnianej</t>
  </si>
  <si>
    <t>wsp determinacji</t>
  </si>
  <si>
    <t>99% zm zostało wyjasnione przez model</t>
  </si>
  <si>
    <t>SKŁADNIKI RESZTOWE - WYJŚCIE</t>
  </si>
  <si>
    <t>Obserwacja</t>
  </si>
  <si>
    <t>Przewidywane Y</t>
  </si>
  <si>
    <t>Składniki resztowe</t>
  </si>
  <si>
    <t>reszty</t>
  </si>
  <si>
    <t>H0 skladnik los ma rozklad norm</t>
  </si>
  <si>
    <t>H1 skladnik los nie ma rozklad norm</t>
  </si>
  <si>
    <t>Test Jarque Berry</t>
  </si>
  <si>
    <t>A</t>
  </si>
  <si>
    <t>K</t>
  </si>
  <si>
    <t>M3</t>
  </si>
  <si>
    <t>M4</t>
  </si>
  <si>
    <t>S</t>
  </si>
  <si>
    <t>suma</t>
  </si>
  <si>
    <t>n=38</t>
  </si>
  <si>
    <t>JB</t>
  </si>
  <si>
    <t>CHI^2*</t>
  </si>
  <si>
    <t>JB&lt;CHI^2*</t>
  </si>
  <si>
    <t>brak podstaw do odrzucenia h0 skladnik losowy ma rozkład normalny</t>
  </si>
  <si>
    <t>H0 Brak autokorelacji</t>
  </si>
  <si>
    <t>H1 wystepuje autokorelacja</t>
  </si>
  <si>
    <t>dL=1,26</t>
  </si>
  <si>
    <t>dU=1,72</t>
  </si>
  <si>
    <t>d&lt;dL odrzucamy H0 wystepuje autokorelacja wyzszego rzędu.</t>
  </si>
  <si>
    <t>TEST WHITE</t>
  </si>
  <si>
    <t>H0 wystepuje homoskedastycznosc</t>
  </si>
  <si>
    <t>H1 wystepuje heteroskedastycznosc</t>
  </si>
  <si>
    <t>p value &gt;0,05</t>
  </si>
  <si>
    <t>przyjmujemy H0 wystepuje homoskedastycznosc</t>
  </si>
  <si>
    <t>S=</t>
  </si>
  <si>
    <t>n1</t>
  </si>
  <si>
    <t>n2</t>
  </si>
  <si>
    <t>-ujemne</t>
  </si>
  <si>
    <t>-dodatnie</t>
  </si>
  <si>
    <t>s1</t>
  </si>
  <si>
    <t>ES</t>
  </si>
  <si>
    <t>sigma s</t>
  </si>
  <si>
    <t>Z</t>
  </si>
  <si>
    <t>t*</t>
  </si>
  <si>
    <t>|z|</t>
  </si>
  <si>
    <t>&lt;t*</t>
  </si>
  <si>
    <t>Brak podstaw do odrzucenia h0</t>
  </si>
  <si>
    <t>H0 : y1=b0+b1*x1+b2*x2+b3*x3+b4*x4</t>
  </si>
  <si>
    <t>H1: y1!=b0+b1*x1+b2*x2+b3*x3+b4*x4</t>
  </si>
  <si>
    <t>Postac modelu została dobrana poprawnie</t>
  </si>
  <si>
    <t>Stwierdziwszy autokorelacje skladnika losowego , a wiemy ze postac funkcjna modelu zostala dobrana poprawnie wiec musimy zastosowac uogólnioną metodę najmniejszych kwadratów</t>
  </si>
  <si>
    <t>y^ = 32,34+0,0179x1-0,158x2+0,033x5-0,040x6</t>
  </si>
  <si>
    <t>Wniosek W modelu wystepuje homoskedastycznosc wiec wszystkie wariancje skladnikow los sa stale dla wszystkich obserwacji niezaleznie od wartosci zm. Objasniajacych. Jedno z kluczowych zalozen kmnk zostalo spelnione estymatory kmnk sa efektywne czyli maja najmniejsza mozliwa wariancje sa liniowe nieobciazone i zgodne.</t>
  </si>
  <si>
    <t>Wniosek: reszty modelu maja rozklad normalny , jest spelnione zalozenie kmnk reszty sa losowe i nie wykazuja systematycznych wzorcow co sugeruje ze model jest dobrze dopasowany</t>
  </si>
  <si>
    <t>Wykorzystujemy test serii</t>
  </si>
  <si>
    <t xml:space="preserve">Reszty sa losowe skladnik losowy zachowuje się zgodnie z zalozeniami kmnk model nie jest blednie wyspecyfikowany , reszty maja charakter los </t>
  </si>
  <si>
    <t>W wyniku testu wyszlo ze wystepuje wspolliniowsc modelu zm objasniajace sa skorelowane co wplywa na jakosc i wiarygodnosc wynikow . Estymatory kmnk sa nieobciazone ale maja duza wariancje ich wartosci mogą odbiegac od wartosci prawdziwych w malych probach trudno jednoznacznie okreslic wplyw poszczegolnych zmiennych na zm objasniana.</t>
  </si>
  <si>
    <t>W zwiazku z wspoliniowoscia nalezaloby polaczyc silnie skorelowane zmienne</t>
  </si>
  <si>
    <t>1.</t>
  </si>
  <si>
    <t>2.</t>
  </si>
  <si>
    <t xml:space="preserve">R^2 = 0,99 oznacza ze model wyjasnia 99% zm zaleznej formalnie dopasowanie jest bardzo wysokie                                                                                                                                                                                                                                                        </t>
  </si>
  <si>
    <t>3.</t>
  </si>
  <si>
    <t xml:space="preserve">4. </t>
  </si>
  <si>
    <t>Ocena końcowa - Podsumowując : model spełnia część kluczowych załóżeń (normalnosc , skedastycznosc , losowsc reszt) , ale narusza brak wspolliniowsci i autokorelacji co oznacza ze estymaotry kmnk nie sa efektywne proces estymacji nie zakonczyl się pelnym sukcesem model formalnie dopasowuje sie dobrze do danych ale z punktu widzenia wiarygodnosci interpretacyjnej i statytycznej nie mozna go uznac za wpelni poprawny, w zwiazku z autokorelacja i wspolliniowscia przeprowadzilismy proces estymacji umnk ktory jest odporny na autokorelacje i wspolliniowsc .Dzieki umnk estymatory pozostana nieobciazone i efektywne nawet przy naruszeniu tych zalozen . Wnioski do modelu umnk . Estymatory sa nieobciazone i efektywne w przeciwienstwie do kmnk w obecnosci autokorelacji estymatory maja min wariancje posrod liniowych estymatorow nieobciazonych. Dzieki temu wspolczynniki regresji mozna interpretowac wiarygodnie.</t>
  </si>
  <si>
    <t>y^ = 32,12 + 0,0194x1-0,153x2 + 0,029x5-0,034x6</t>
  </si>
  <si>
    <t xml:space="preserve">Ze względu na wspolliniowsc interpretacja posczegolnych parametrow może być niedokonca poprawna        y^=32,12+0,0194x1-0,153x2+0,029x5-0,034x6                                                                                                                                                                                                                                                                                                                                                                            1.Wyraz wolny - 32,12 - oznaczna przewidywana wartosc PKB gdy wszystkie zm objasniajace sa rowne 0 . Ekonomicznie: punkt startowy pkb gdy nie ma wartosc wszystkich zm objasniajacych jest rowna 0 w praktyce jest to bardziej wartosc teoretyczna niz realistyczna.                                                                                                    2.B1=0,0194 (wnioski o patenty) kazdy dodatkowy patenty zwieksza pkb o 0,0194 jednostki przy zalozeniu stalosci pozostalych parametrow . Ekonomicznie : wieksza liczba patentow powoduje wieksza innowacyjnosc oraz wzrost produktywnosci co powoduje wzrost pkb. Wartosc dodatnia jest zgodna z intuicja ekonomiczna.                                                                                                                                           3.Parametr B2=-0,153 wzrost x2 o jedna jednostke powoduje spadek PKB o 0,153jednostek przy  zalozeniu stalosci reszty parametrow. Ekonomiczny: Ujemny wspolczynnik wymaga ostroznosci przy interpretacji moze to byc efekt statystyczny wynikajacy z korelacji z innymi zmiennymi a nie rzeczywisty efekt ekonomiczny .                                                                                                                                                                        4.B3 = 0,029 (import krajowy) wzrost udzialu  importu o 1 %  zwieksza pkb o 0,029 jednostki przy zalozeniu ze reszta zm jest stala. Ekonomicznie : wiekszy import moze swiadczyc o wiekszym wzroscie aktywnosci gospodarczej lepszych mozliwosciach produkcyjnych i konsumpcyjnych co pozytywnie wplywa na pkb.                                                                              5. B4=-0,034 (export krajowy) Wzrost udzialu o 1 % zmniejsza pkb o 0,034 jednostki  przy zalozeniu ze reszta zm modelu jest stala . Ekonomicznie: Ujemny znak jest nietypowy bo zwykle wiekszy export wspiera pkb moze to byc efekt wspolliniowsci miedzy imortem a exportem wiec nalezy interpretowac ostroznie. Przykladowy scenariusz ekonomiczny : koszty produkcji exportowej przewyzszaja korzysci w krotkim okresie </t>
  </si>
  <si>
    <t>model kmnk</t>
  </si>
  <si>
    <t xml:space="preserve">model umnk </t>
  </si>
  <si>
    <t>import</t>
  </si>
  <si>
    <t>export</t>
  </si>
  <si>
    <t>Rezerwy krajowe</t>
  </si>
  <si>
    <t>Inflacja</t>
  </si>
  <si>
    <t>Populacja</t>
  </si>
  <si>
    <t>Wzrost populacji</t>
  </si>
  <si>
    <t>Oczekiwana dlugosc zycia</t>
  </si>
  <si>
    <t>Pkb</t>
  </si>
  <si>
    <t>liczba zgoszen patentowych</t>
  </si>
  <si>
    <t>w tyś sztuk</t>
  </si>
  <si>
    <t>Damska populacja</t>
  </si>
  <si>
    <t>Męska populacja</t>
  </si>
  <si>
    <t xml:space="preserve">% </t>
  </si>
  <si>
    <t>Krajowe firmy</t>
  </si>
  <si>
    <t>Brak podstaw do odrzucenia H0, b4 jest istotne statystycznie</t>
  </si>
  <si>
    <t>Przyjmujemy model z 4 zmiennymi objaśnaijącymi.</t>
  </si>
  <si>
    <t>&lt;</t>
  </si>
  <si>
    <t>1 podpróba</t>
  </si>
  <si>
    <t>2 podpróba</t>
  </si>
  <si>
    <t>MS resztkowy=</t>
  </si>
  <si>
    <t>F=</t>
  </si>
  <si>
    <t>Test Goldfend-quandta</t>
  </si>
  <si>
    <t>F*</t>
  </si>
  <si>
    <t>odp: Brak podstaw do odrzucenia h0, o homoskedastyczności</t>
  </si>
  <si>
    <t>https://www.kaggle.com/datasets/nejilee/indian-economy-from-1960-to-2020</t>
  </si>
  <si>
    <t>India - Patent applications</t>
  </si>
  <si>
    <t>Wnioski: brak obserwacji wpływowych , 2 obserwacje dźwigniowe ale nie wpływowe.</t>
  </si>
  <si>
    <t xml:space="preserve">Współczynnik korelacji wielorakiej </t>
  </si>
  <si>
    <t xml:space="preserve">Jak silnie wszystkie zmienne objaśniające wpływają razem na zmienna objaśniana - występuje bardzo silnie korelacja dodatnia. Bardzo wysoki związek liniowy między zmienną zależną a zmiennymi niezależnymi. Model regresji jest w stanie dosyć dokładnie przewidywać wartości zmiennej zależnej. </t>
  </si>
  <si>
    <t>odchylenie standardowy reszt</t>
  </si>
  <si>
    <t>Wartości obserwowane różnią się średnio o 0,07049 od wartości wyliczonych przez model.</t>
  </si>
  <si>
    <t>99% zmienności zmiennej objaśnianej zostało wyjaśnione przez model.</t>
  </si>
  <si>
    <t xml:space="preserve">Na podstawie przeprowadzonych testów można sformułować następujące wnioski:                                                                 Test normalności - nie odrzucono hipotezy o normalnym rozkładzie składnika losowego co oznacza ze składnik losowy ma rozkład zbliżony do normalnego.                                                          Test homoskedastyczność - Brak podstaw do odrzucenia H0 o stałej wariancji reszt wiec wariancja reszt jest stała co spełnia założenie kmnk.                                                                                                         Test serii - nie odrzucono H0 o losowości składnik losowego epsylon co oznacza ze składnik ma charakter przypadkowy a model został poprawnie wyspecyfikowany.                                                                                                                                                                              Współliniowość - stwierdzono występowanie współliniowości miedzy zmiennymi objaśniającymi. Powoduje to wzrost wariancji estymatorów , niestabilności współczynników i utrudnia jednoznaczna interpretacje wpływu poszczególnych zmiennych.                                                                      Autokorelacja reszt- wykryto autokorelacje reszt co oznacza ze składnik losowy nie jest w pełni niezależny. Narusza jedno z podstawowych założeń kmnk i może prowadzić do błędnych wniosków z testów istotności w związku z tym przeprowadziliśmy umnk aby zapobiec autokorelacji reszt.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</si>
</sst>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sz val="20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sz val="10"/>
      <color theme="1"/>
      <name val="Times New Roman"/>
      <family val="1"/>
      <charset val="238"/>
    </font>
    <font>
      <sz val="12"/>
      <color theme="1"/>
      <name val="Calibri"/>
      <family val="2"/>
      <charset val="238"/>
      <scheme val="minor"/>
    </font>
    <font>
      <i/>
      <sz val="12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6"/>
      <color rgb="FF000000"/>
      <name val="Verdana"/>
      <family val="2"/>
      <charset val="238"/>
    </font>
    <font>
      <sz val="8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4"/>
      <color rgb="FF000000"/>
      <name val="Tw Cen MT"/>
      <family val="2"/>
      <charset val="238"/>
    </font>
    <font>
      <sz val="18"/>
      <name val="Arial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rgb="FF3BE17A"/>
        <bgColor indexed="64"/>
      </patternFill>
    </fill>
    <fill>
      <patternFill patternType="solid">
        <fgColor rgb="FFC1EB25"/>
        <bgColor indexed="64"/>
      </patternFill>
    </fill>
    <fill>
      <patternFill patternType="solid">
        <fgColor rgb="FFEE54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C62C8"/>
        <bgColor indexed="64"/>
      </patternFill>
    </fill>
    <fill>
      <patternFill patternType="solid">
        <fgColor rgb="FFF7B1A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FF6E9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E8EEF4"/>
      </left>
      <right style="medium">
        <color rgb="FFE8EEF4"/>
      </right>
      <top style="medium">
        <color rgb="FFE8EEF4"/>
      </top>
      <bottom style="medium">
        <color rgb="FFE8EEF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0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quotePrefix="1"/>
    <xf numFmtId="0" fontId="6" fillId="0" borderId="0" xfId="0" applyFont="1" applyAlignment="1">
      <alignment horizontal="left" vertical="center"/>
    </xf>
    <xf numFmtId="0" fontId="5" fillId="2" borderId="12" xfId="0" applyFont="1" applyFill="1" applyBorder="1"/>
    <xf numFmtId="0" fontId="5" fillId="2" borderId="13" xfId="0" applyFont="1" applyFill="1" applyBorder="1"/>
    <xf numFmtId="0" fontId="5" fillId="2" borderId="14" xfId="0" applyFont="1" applyFill="1" applyBorder="1"/>
    <xf numFmtId="0" fontId="5" fillId="2" borderId="15" xfId="0" applyFont="1" applyFill="1" applyBorder="1"/>
    <xf numFmtId="0" fontId="5" fillId="2" borderId="0" xfId="0" applyFont="1" applyFill="1"/>
    <xf numFmtId="0" fontId="5" fillId="2" borderId="16" xfId="0" applyFont="1" applyFill="1" applyBorder="1"/>
    <xf numFmtId="0" fontId="5" fillId="2" borderId="17" xfId="0" applyFont="1" applyFill="1" applyBorder="1"/>
    <xf numFmtId="0" fontId="5" fillId="2" borderId="18" xfId="0" applyFont="1" applyFill="1" applyBorder="1"/>
    <xf numFmtId="0" fontId="5" fillId="2" borderId="19" xfId="0" applyFont="1" applyFill="1" applyBorder="1"/>
    <xf numFmtId="0" fontId="4" fillId="2" borderId="0" xfId="0" applyFont="1" applyFill="1"/>
    <xf numFmtId="0" fontId="4" fillId="10" borderId="0" xfId="0" applyFont="1" applyFill="1"/>
    <xf numFmtId="0" fontId="4" fillId="11" borderId="0" xfId="0" applyFont="1" applyFill="1"/>
    <xf numFmtId="0" fontId="0" fillId="11" borderId="0" xfId="0" applyFill="1"/>
    <xf numFmtId="0" fontId="5" fillId="10" borderId="0" xfId="0" applyFont="1" applyFill="1"/>
    <xf numFmtId="0" fontId="5" fillId="9" borderId="9" xfId="0" applyFont="1" applyFill="1" applyBorder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horizontal="justify" vertical="center"/>
    </xf>
    <xf numFmtId="0" fontId="10" fillId="12" borderId="20" xfId="0" applyFont="1" applyFill="1" applyBorder="1" applyAlignment="1">
      <alignment vertical="center" wrapText="1"/>
    </xf>
    <xf numFmtId="2" fontId="10" fillId="12" borderId="20" xfId="0" applyNumberFormat="1" applyFont="1" applyFill="1" applyBorder="1" applyAlignment="1">
      <alignment horizontal="right" vertical="center" wrapText="1"/>
    </xf>
    <xf numFmtId="0" fontId="10" fillId="12" borderId="20" xfId="0" applyFont="1" applyFill="1" applyBorder="1" applyAlignment="1">
      <alignment horizontal="right" vertical="center" wrapText="1"/>
    </xf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22" xfId="0" applyBorder="1"/>
    <xf numFmtId="0" fontId="12" fillId="0" borderId="23" xfId="0" applyFont="1" applyBorder="1" applyAlignment="1">
      <alignment horizontal="centerContinuous"/>
    </xf>
    <xf numFmtId="0" fontId="0" fillId="0" borderId="7" xfId="0" applyBorder="1"/>
    <xf numFmtId="0" fontId="12" fillId="0" borderId="23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3" fillId="0" borderId="23" xfId="0" applyFont="1" applyBorder="1" applyAlignment="1">
      <alignment horizontal="centerContinuous"/>
    </xf>
    <xf numFmtId="0" fontId="9" fillId="0" borderId="0" xfId="0" applyFont="1"/>
    <xf numFmtId="0" fontId="9" fillId="0" borderId="7" xfId="0" applyFont="1" applyBorder="1"/>
    <xf numFmtId="0" fontId="5" fillId="13" borderId="0" xfId="0" applyFont="1" applyFill="1"/>
    <xf numFmtId="0" fontId="14" fillId="0" borderId="0" xfId="1"/>
    <xf numFmtId="0" fontId="4" fillId="5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6" borderId="1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5" fillId="6" borderId="6" xfId="0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horizontal="left" vertical="center" wrapText="1"/>
    </xf>
    <xf numFmtId="0" fontId="5" fillId="6" borderId="8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4" fillId="7" borderId="1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5" fillId="7" borderId="0" xfId="0" applyFont="1" applyFill="1" applyAlignment="1">
      <alignment horizontal="left" vertical="center" wrapText="1"/>
    </xf>
    <xf numFmtId="0" fontId="5" fillId="7" borderId="5" xfId="0" applyFont="1" applyFill="1" applyBorder="1" applyAlignment="1">
      <alignment horizontal="left" vertical="center" wrapText="1"/>
    </xf>
    <xf numFmtId="0" fontId="5" fillId="7" borderId="6" xfId="0" applyFont="1" applyFill="1" applyBorder="1" applyAlignment="1">
      <alignment horizontal="left" vertical="center" wrapText="1"/>
    </xf>
    <xf numFmtId="0" fontId="5" fillId="7" borderId="7" xfId="0" applyFont="1" applyFill="1" applyBorder="1" applyAlignment="1">
      <alignment horizontal="left" vertical="center" wrapText="1"/>
    </xf>
    <xf numFmtId="0" fontId="5" fillId="7" borderId="8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5" fillId="8" borderId="3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left" vertical="center" wrapText="1"/>
    </xf>
    <xf numFmtId="0" fontId="5" fillId="8" borderId="0" xfId="0" applyFont="1" applyFill="1" applyAlignment="1">
      <alignment horizontal="left" vertical="center" wrapText="1"/>
    </xf>
    <xf numFmtId="0" fontId="5" fillId="8" borderId="5" xfId="0" applyFont="1" applyFill="1" applyBorder="1" applyAlignment="1">
      <alignment horizontal="left" vertical="center" wrapText="1"/>
    </xf>
    <xf numFmtId="0" fontId="5" fillId="8" borderId="6" xfId="0" applyFont="1" applyFill="1" applyBorder="1" applyAlignment="1">
      <alignment horizontal="left" vertical="center" wrapText="1"/>
    </xf>
    <xf numFmtId="0" fontId="5" fillId="8" borderId="7" xfId="0" applyFont="1" applyFill="1" applyBorder="1" applyAlignment="1">
      <alignment horizontal="left" vertical="center" wrapText="1"/>
    </xf>
    <xf numFmtId="0" fontId="5" fillId="8" borderId="8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 wrapText="1"/>
    </xf>
    <xf numFmtId="0" fontId="4" fillId="9" borderId="11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 vertical="center" wrapText="1"/>
    </xf>
    <xf numFmtId="0" fontId="5" fillId="9" borderId="11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horizontal="left" vertical="center" wrapText="1"/>
    </xf>
    <xf numFmtId="0" fontId="5" fillId="9" borderId="10" xfId="0" applyFont="1" applyFill="1" applyBorder="1" applyAlignment="1">
      <alignment horizontal="left" vertical="center" wrapText="1"/>
    </xf>
    <xf numFmtId="0" fontId="5" fillId="9" borderId="1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15" fillId="0" borderId="0" xfId="0" applyFont="1" applyAlignment="1">
      <alignment horizontal="left" readingOrder="1"/>
    </xf>
    <xf numFmtId="0" fontId="15" fillId="14" borderId="24" xfId="0" applyFont="1" applyFill="1" applyBorder="1" applyAlignment="1">
      <alignment horizontal="left" wrapText="1" readingOrder="1"/>
    </xf>
    <xf numFmtId="0" fontId="15" fillId="14" borderId="24" xfId="0" applyFont="1" applyFill="1" applyBorder="1" applyAlignment="1">
      <alignment horizontal="right" wrapText="1" readingOrder="1"/>
    </xf>
    <xf numFmtId="0" fontId="16" fillId="14" borderId="24" xfId="0" applyFont="1" applyFill="1" applyBorder="1" applyAlignment="1">
      <alignment wrapText="1"/>
    </xf>
    <xf numFmtId="0" fontId="15" fillId="14" borderId="25" xfId="0" applyFont="1" applyFill="1" applyBorder="1" applyAlignment="1">
      <alignment wrapText="1" readingOrder="1"/>
    </xf>
    <xf numFmtId="0" fontId="15" fillId="14" borderId="26" xfId="0" applyFont="1" applyFill="1" applyBorder="1" applyAlignment="1">
      <alignment wrapText="1" readingOrder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colors>
    <mruColors>
      <color rgb="FFF7B1AF"/>
      <color rgb="FFEC62C8"/>
      <color rgb="FF3BE17A"/>
      <color rgb="FFC1EB25"/>
      <color rgb="FFE5A5A5"/>
      <color rgb="FFD7F276"/>
      <color rgb="FFEE54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Zmienna X 1 Rozkład linii dopasowanej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[1]Arkusz4!$B$65:$B$102</c:f>
              <c:numCache>
                <c:formatCode>General</c:formatCode>
                <c:ptCount val="38"/>
                <c:pt idx="0">
                  <c:v>1.948</c:v>
                </c:pt>
                <c:pt idx="1">
                  <c:v>2.2909999999999999</c:v>
                </c:pt>
                <c:pt idx="2">
                  <c:v>2.4929999999999999</c:v>
                </c:pt>
                <c:pt idx="3">
                  <c:v>2.4969999999999999</c:v>
                </c:pt>
                <c:pt idx="4">
                  <c:v>2.52</c:v>
                </c:pt>
                <c:pt idx="5">
                  <c:v>2.504</c:v>
                </c:pt>
                <c:pt idx="6">
                  <c:v>2.6</c:v>
                </c:pt>
                <c:pt idx="7">
                  <c:v>2.673</c:v>
                </c:pt>
                <c:pt idx="8">
                  <c:v>2.3279999999999998</c:v>
                </c:pt>
                <c:pt idx="9">
                  <c:v>2.1760000000000002</c:v>
                </c:pt>
                <c:pt idx="10">
                  <c:v>2.5110000000000001</c:v>
                </c:pt>
                <c:pt idx="11">
                  <c:v>3.2120000000000002</c:v>
                </c:pt>
                <c:pt idx="12">
                  <c:v>5.0209999999999999</c:v>
                </c:pt>
                <c:pt idx="13">
                  <c:v>6.9009999999999998</c:v>
                </c:pt>
                <c:pt idx="14">
                  <c:v>8.2289999999999992</c:v>
                </c:pt>
                <c:pt idx="15">
                  <c:v>6.7069999999999999</c:v>
                </c:pt>
                <c:pt idx="16">
                  <c:v>2.62</c:v>
                </c:pt>
                <c:pt idx="17">
                  <c:v>6.3319999999999999</c:v>
                </c:pt>
                <c:pt idx="18">
                  <c:v>8.2129999999999992</c:v>
                </c:pt>
                <c:pt idx="19">
                  <c:v>8.7720000000000002</c:v>
                </c:pt>
                <c:pt idx="20">
                  <c:v>9.1880000000000006</c:v>
                </c:pt>
                <c:pt idx="21">
                  <c:v>13.452</c:v>
                </c:pt>
                <c:pt idx="22">
                  <c:v>19.661000000000001</c:v>
                </c:pt>
                <c:pt idx="23">
                  <c:v>23.242000000000001</c:v>
                </c:pt>
                <c:pt idx="24">
                  <c:v>28.922000000000001</c:v>
                </c:pt>
                <c:pt idx="25">
                  <c:v>30.387</c:v>
                </c:pt>
                <c:pt idx="26">
                  <c:v>27.024999999999999</c:v>
                </c:pt>
                <c:pt idx="27">
                  <c:v>30.908999999999999</c:v>
                </c:pt>
                <c:pt idx="28">
                  <c:v>33.450000000000003</c:v>
                </c:pt>
                <c:pt idx="29">
                  <c:v>34.402000000000001</c:v>
                </c:pt>
                <c:pt idx="30">
                  <c:v>32.362000000000002</c:v>
                </c:pt>
                <c:pt idx="31">
                  <c:v>30.814</c:v>
                </c:pt>
                <c:pt idx="32">
                  <c:v>33.079000000000001</c:v>
                </c:pt>
                <c:pt idx="33">
                  <c:v>31.858000000000001</c:v>
                </c:pt>
                <c:pt idx="34">
                  <c:v>31.620999999999999</c:v>
                </c:pt>
                <c:pt idx="35">
                  <c:v>33.765999999999998</c:v>
                </c:pt>
                <c:pt idx="36">
                  <c:v>34.173000000000002</c:v>
                </c:pt>
                <c:pt idx="37">
                  <c:v>33.630000000000003</c:v>
                </c:pt>
              </c:numCache>
            </c:numRef>
          </c:xVal>
          <c:yVal>
            <c:numRef>
              <c:f>[1]Arkusz4!$A$65:$A$102</c:f>
              <c:numCache>
                <c:formatCode>General</c:formatCode>
                <c:ptCount val="38"/>
                <c:pt idx="0">
                  <c:v>26.108963265626635</c:v>
                </c:pt>
                <c:pt idx="1">
                  <c:v>26.080598220791387</c:v>
                </c:pt>
                <c:pt idx="2">
                  <c:v>26.172207148160084</c:v>
                </c:pt>
                <c:pt idx="3">
                  <c:v>26.240662482996122</c:v>
                </c:pt>
                <c:pt idx="4">
                  <c:v>26.35459798461391</c:v>
                </c:pt>
                <c:pt idx="5">
                  <c:v>26.415613161485624</c:v>
                </c:pt>
                <c:pt idx="6">
                  <c:v>26.413768372199044</c:v>
                </c:pt>
                <c:pt idx="7">
                  <c:v>26.494641619686462</c:v>
                </c:pt>
                <c:pt idx="8">
                  <c:v>26.322077874962332</c:v>
                </c:pt>
                <c:pt idx="9">
                  <c:v>26.386949771936749</c:v>
                </c:pt>
                <c:pt idx="10">
                  <c:v>26.35553807058356</c:v>
                </c:pt>
                <c:pt idx="11">
                  <c:v>26.514068416036146</c:v>
                </c:pt>
                <c:pt idx="12">
                  <c:v>26.610152763845043</c:v>
                </c:pt>
                <c:pt idx="13">
                  <c:v>26.696813466277504</c:v>
                </c:pt>
                <c:pt idx="14">
                  <c:v>26.753633147301262</c:v>
                </c:pt>
                <c:pt idx="15">
                  <c:v>26.76673318575585</c:v>
                </c:pt>
                <c:pt idx="16">
                  <c:v>26.851924722819589</c:v>
                </c:pt>
                <c:pt idx="17">
                  <c:v>26.872577660034214</c:v>
                </c:pt>
                <c:pt idx="18">
                  <c:v>26.908323623040616</c:v>
                </c:pt>
                <c:pt idx="19">
                  <c:v>26.967312242720016</c:v>
                </c:pt>
                <c:pt idx="20">
                  <c:v>27.132946000233598</c:v>
                </c:pt>
                <c:pt idx="21">
                  <c:v>27.287330812353115</c:v>
                </c:pt>
                <c:pt idx="22">
                  <c:v>27.433035429339736</c:v>
                </c:pt>
                <c:pt idx="23">
                  <c:v>27.569422151436065</c:v>
                </c:pt>
                <c:pt idx="24">
                  <c:v>27.827192520537938</c:v>
                </c:pt>
                <c:pt idx="25">
                  <c:v>27.812421900723301</c:v>
                </c:pt>
                <c:pt idx="26">
                  <c:v>27.92509765224813</c:v>
                </c:pt>
                <c:pt idx="27">
                  <c:v>28.147201578281397</c:v>
                </c:pt>
                <c:pt idx="28">
                  <c:v>28.231531998946945</c:v>
                </c:pt>
                <c:pt idx="29">
                  <c:v>28.234045461640768</c:v>
                </c:pt>
                <c:pt idx="30">
                  <c:v>28.249833748650111</c:v>
                </c:pt>
                <c:pt idx="31">
                  <c:v>28.343543109882685</c:v>
                </c:pt>
                <c:pt idx="32">
                  <c:v>28.374665485629396</c:v>
                </c:pt>
                <c:pt idx="33">
                  <c:v>28.461665929644546</c:v>
                </c:pt>
                <c:pt idx="34">
                  <c:v>28.606136430331777</c:v>
                </c:pt>
                <c:pt idx="35">
                  <c:v>28.625357381760317</c:v>
                </c:pt>
                <c:pt idx="36">
                  <c:v>28.671846165741808</c:v>
                </c:pt>
                <c:pt idx="37">
                  <c:v>28.612233277545126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5A-4534-A1B5-FE1CE65AFD31}"/>
            </c:ext>
          </c:extLst>
        </c:ser>
        <c:ser>
          <c:idx val="1"/>
          <c:order val="1"/>
          <c:tx>
            <c:v>Przewidywane Y</c:v>
          </c:tx>
          <c:spPr>
            <a:ln w="19050">
              <a:noFill/>
            </a:ln>
          </c:spPr>
          <c:xVal>
            <c:numRef>
              <c:f>[1]Arkusz4!$B$65:$B$102</c:f>
              <c:numCache>
                <c:formatCode>General</c:formatCode>
                <c:ptCount val="38"/>
                <c:pt idx="0">
                  <c:v>1.948</c:v>
                </c:pt>
                <c:pt idx="1">
                  <c:v>2.2909999999999999</c:v>
                </c:pt>
                <c:pt idx="2">
                  <c:v>2.4929999999999999</c:v>
                </c:pt>
                <c:pt idx="3">
                  <c:v>2.4969999999999999</c:v>
                </c:pt>
                <c:pt idx="4">
                  <c:v>2.52</c:v>
                </c:pt>
                <c:pt idx="5">
                  <c:v>2.504</c:v>
                </c:pt>
                <c:pt idx="6">
                  <c:v>2.6</c:v>
                </c:pt>
                <c:pt idx="7">
                  <c:v>2.673</c:v>
                </c:pt>
                <c:pt idx="8">
                  <c:v>2.3279999999999998</c:v>
                </c:pt>
                <c:pt idx="9">
                  <c:v>2.1760000000000002</c:v>
                </c:pt>
                <c:pt idx="10">
                  <c:v>2.5110000000000001</c:v>
                </c:pt>
                <c:pt idx="11">
                  <c:v>3.2120000000000002</c:v>
                </c:pt>
                <c:pt idx="12">
                  <c:v>5.0209999999999999</c:v>
                </c:pt>
                <c:pt idx="13">
                  <c:v>6.9009999999999998</c:v>
                </c:pt>
                <c:pt idx="14">
                  <c:v>8.2289999999999992</c:v>
                </c:pt>
                <c:pt idx="15">
                  <c:v>6.7069999999999999</c:v>
                </c:pt>
                <c:pt idx="16">
                  <c:v>2.62</c:v>
                </c:pt>
                <c:pt idx="17">
                  <c:v>6.3319999999999999</c:v>
                </c:pt>
                <c:pt idx="18">
                  <c:v>8.2129999999999992</c:v>
                </c:pt>
                <c:pt idx="19">
                  <c:v>8.7720000000000002</c:v>
                </c:pt>
                <c:pt idx="20">
                  <c:v>9.1880000000000006</c:v>
                </c:pt>
                <c:pt idx="21">
                  <c:v>13.452</c:v>
                </c:pt>
                <c:pt idx="22">
                  <c:v>19.661000000000001</c:v>
                </c:pt>
                <c:pt idx="23">
                  <c:v>23.242000000000001</c:v>
                </c:pt>
                <c:pt idx="24">
                  <c:v>28.922000000000001</c:v>
                </c:pt>
                <c:pt idx="25">
                  <c:v>30.387</c:v>
                </c:pt>
                <c:pt idx="26">
                  <c:v>27.024999999999999</c:v>
                </c:pt>
                <c:pt idx="27">
                  <c:v>30.908999999999999</c:v>
                </c:pt>
                <c:pt idx="28">
                  <c:v>33.450000000000003</c:v>
                </c:pt>
                <c:pt idx="29">
                  <c:v>34.402000000000001</c:v>
                </c:pt>
                <c:pt idx="30">
                  <c:v>32.362000000000002</c:v>
                </c:pt>
                <c:pt idx="31">
                  <c:v>30.814</c:v>
                </c:pt>
                <c:pt idx="32">
                  <c:v>33.079000000000001</c:v>
                </c:pt>
                <c:pt idx="33">
                  <c:v>31.858000000000001</c:v>
                </c:pt>
                <c:pt idx="34">
                  <c:v>31.620999999999999</c:v>
                </c:pt>
                <c:pt idx="35">
                  <c:v>33.765999999999998</c:v>
                </c:pt>
                <c:pt idx="36">
                  <c:v>34.173000000000002</c:v>
                </c:pt>
                <c:pt idx="37">
                  <c:v>33.630000000000003</c:v>
                </c:pt>
              </c:numCache>
            </c:numRef>
          </c:xVal>
          <c:yVal>
            <c:numRef>
              <c:f>[1]Arkusz4!$U$112:$U$149</c:f>
              <c:numCache>
                <c:formatCode>General</c:formatCode>
                <c:ptCount val="38"/>
                <c:pt idx="0">
                  <c:v>26.052151353144893</c:v>
                </c:pt>
                <c:pt idx="1">
                  <c:v>26.116452536500574</c:v>
                </c:pt>
                <c:pt idx="2">
                  <c:v>26.230676243037088</c:v>
                </c:pt>
                <c:pt idx="3">
                  <c:v>26.321082319216206</c:v>
                </c:pt>
                <c:pt idx="4">
                  <c:v>26.377859936020641</c:v>
                </c:pt>
                <c:pt idx="5">
                  <c:v>26.338382695750816</c:v>
                </c:pt>
                <c:pt idx="6">
                  <c:v>26.343021934604721</c:v>
                </c:pt>
                <c:pt idx="7">
                  <c:v>26.390751428666597</c:v>
                </c:pt>
                <c:pt idx="8">
                  <c:v>26.361974740138024</c:v>
                </c:pt>
                <c:pt idx="9">
                  <c:v>26.411000291890929</c:v>
                </c:pt>
                <c:pt idx="10">
                  <c:v>26.396646428336258</c:v>
                </c:pt>
                <c:pt idx="11">
                  <c:v>26.500226010951447</c:v>
                </c:pt>
                <c:pt idx="12">
                  <c:v>26.603184768835614</c:v>
                </c:pt>
                <c:pt idx="13">
                  <c:v>26.673552579656459</c:v>
                </c:pt>
                <c:pt idx="14">
                  <c:v>26.719975629014563</c:v>
                </c:pt>
                <c:pt idx="15">
                  <c:v>26.838388540192202</c:v>
                </c:pt>
                <c:pt idx="16">
                  <c:v>26.779516432918228</c:v>
                </c:pt>
                <c:pt idx="17">
                  <c:v>26.855355530887902</c:v>
                </c:pt>
                <c:pt idx="18">
                  <c:v>26.980125627746968</c:v>
                </c:pt>
                <c:pt idx="19">
                  <c:v>27.051992137451894</c:v>
                </c:pt>
                <c:pt idx="20">
                  <c:v>27.118806227177256</c:v>
                </c:pt>
                <c:pt idx="21">
                  <c:v>27.263000281973127</c:v>
                </c:pt>
                <c:pt idx="22">
                  <c:v>27.439712500839157</c:v>
                </c:pt>
                <c:pt idx="23">
                  <c:v>27.56519320532044</c:v>
                </c:pt>
                <c:pt idx="24">
                  <c:v>27.829280297471669</c:v>
                </c:pt>
                <c:pt idx="25">
                  <c:v>27.869624185277125</c:v>
                </c:pt>
                <c:pt idx="26">
                  <c:v>27.962113222763776</c:v>
                </c:pt>
                <c:pt idx="27">
                  <c:v>28.063838800384449</c:v>
                </c:pt>
                <c:pt idx="28">
                  <c:v>28.20403017245285</c:v>
                </c:pt>
                <c:pt idx="29">
                  <c:v>28.292138505894876</c:v>
                </c:pt>
                <c:pt idx="30">
                  <c:v>28.237902485659035</c:v>
                </c:pt>
                <c:pt idx="31">
                  <c:v>28.281149600174317</c:v>
                </c:pt>
                <c:pt idx="32">
                  <c:v>28.388829969641428</c:v>
                </c:pt>
                <c:pt idx="33">
                  <c:v>28.444673785069391</c:v>
                </c:pt>
                <c:pt idx="34">
                  <c:v>28.578841027504652</c:v>
                </c:pt>
                <c:pt idx="35">
                  <c:v>28.639118324468928</c:v>
                </c:pt>
                <c:pt idx="36">
                  <c:v>28.660219888680015</c:v>
                </c:pt>
                <c:pt idx="37">
                  <c:v>28.651874590084741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5A-4534-A1B5-FE1CE65AF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561887"/>
        <c:axId val="583564767"/>
      </c:scatterChart>
      <c:valAx>
        <c:axId val="583561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Zmienna X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3564767"/>
        <c:crosses val="autoZero"/>
        <c:crossBetween val="midCat"/>
      </c:valAx>
      <c:valAx>
        <c:axId val="5835647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356188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Zmienna X 2 Rozkład linii dopasowanej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[1]Arkusz4!$C$65:$C$102</c:f>
              <c:numCache>
                <c:formatCode>General</c:formatCode>
                <c:ptCount val="38"/>
                <c:pt idx="0">
                  <c:v>39.020000000000003</c:v>
                </c:pt>
                <c:pt idx="1">
                  <c:v>38.909999999999997</c:v>
                </c:pt>
                <c:pt idx="2">
                  <c:v>38.75</c:v>
                </c:pt>
                <c:pt idx="3">
                  <c:v>38.71</c:v>
                </c:pt>
                <c:pt idx="4">
                  <c:v>38.58</c:v>
                </c:pt>
                <c:pt idx="5">
                  <c:v>38.4</c:v>
                </c:pt>
                <c:pt idx="6">
                  <c:v>38.19</c:v>
                </c:pt>
                <c:pt idx="7">
                  <c:v>37.97</c:v>
                </c:pt>
                <c:pt idx="8">
                  <c:v>37.770000000000003</c:v>
                </c:pt>
                <c:pt idx="9">
                  <c:v>37.54</c:v>
                </c:pt>
                <c:pt idx="10">
                  <c:v>37.29</c:v>
                </c:pt>
                <c:pt idx="11">
                  <c:v>36.99</c:v>
                </c:pt>
                <c:pt idx="12">
                  <c:v>36.65</c:v>
                </c:pt>
                <c:pt idx="13">
                  <c:v>36.33</c:v>
                </c:pt>
                <c:pt idx="14">
                  <c:v>35.97</c:v>
                </c:pt>
                <c:pt idx="15">
                  <c:v>35.57</c:v>
                </c:pt>
                <c:pt idx="16">
                  <c:v>35.159999999999997</c:v>
                </c:pt>
                <c:pt idx="17">
                  <c:v>34.729999999999997</c:v>
                </c:pt>
                <c:pt idx="18">
                  <c:v>34.36</c:v>
                </c:pt>
                <c:pt idx="19">
                  <c:v>33.97</c:v>
                </c:pt>
                <c:pt idx="20">
                  <c:v>33.56</c:v>
                </c:pt>
                <c:pt idx="21">
                  <c:v>33.15</c:v>
                </c:pt>
                <c:pt idx="22">
                  <c:v>32.74</c:v>
                </c:pt>
                <c:pt idx="23">
                  <c:v>32.380000000000003</c:v>
                </c:pt>
                <c:pt idx="24">
                  <c:v>32.01</c:v>
                </c:pt>
                <c:pt idx="25">
                  <c:v>31.64</c:v>
                </c:pt>
                <c:pt idx="26">
                  <c:v>31.24</c:v>
                </c:pt>
                <c:pt idx="27">
                  <c:v>30.81</c:v>
                </c:pt>
                <c:pt idx="28">
                  <c:v>30.4</c:v>
                </c:pt>
                <c:pt idx="29">
                  <c:v>29.93</c:v>
                </c:pt>
                <c:pt idx="30">
                  <c:v>29.43</c:v>
                </c:pt>
                <c:pt idx="31">
                  <c:v>28.93</c:v>
                </c:pt>
                <c:pt idx="32">
                  <c:v>28.44</c:v>
                </c:pt>
                <c:pt idx="33">
                  <c:v>27.93</c:v>
                </c:pt>
                <c:pt idx="34">
                  <c:v>27.48</c:v>
                </c:pt>
                <c:pt idx="35">
                  <c:v>27.05</c:v>
                </c:pt>
                <c:pt idx="36">
                  <c:v>26.62</c:v>
                </c:pt>
                <c:pt idx="37">
                  <c:v>26.16</c:v>
                </c:pt>
              </c:numCache>
            </c:numRef>
          </c:xVal>
          <c:yVal>
            <c:numRef>
              <c:f>[1]Arkusz4!$A$65:$A$102</c:f>
              <c:numCache>
                <c:formatCode>General</c:formatCode>
                <c:ptCount val="38"/>
                <c:pt idx="0">
                  <c:v>26.108963265626635</c:v>
                </c:pt>
                <c:pt idx="1">
                  <c:v>26.080598220791387</c:v>
                </c:pt>
                <c:pt idx="2">
                  <c:v>26.172207148160084</c:v>
                </c:pt>
                <c:pt idx="3">
                  <c:v>26.240662482996122</c:v>
                </c:pt>
                <c:pt idx="4">
                  <c:v>26.35459798461391</c:v>
                </c:pt>
                <c:pt idx="5">
                  <c:v>26.415613161485624</c:v>
                </c:pt>
                <c:pt idx="6">
                  <c:v>26.413768372199044</c:v>
                </c:pt>
                <c:pt idx="7">
                  <c:v>26.494641619686462</c:v>
                </c:pt>
                <c:pt idx="8">
                  <c:v>26.322077874962332</c:v>
                </c:pt>
                <c:pt idx="9">
                  <c:v>26.386949771936749</c:v>
                </c:pt>
                <c:pt idx="10">
                  <c:v>26.35553807058356</c:v>
                </c:pt>
                <c:pt idx="11">
                  <c:v>26.514068416036146</c:v>
                </c:pt>
                <c:pt idx="12">
                  <c:v>26.610152763845043</c:v>
                </c:pt>
                <c:pt idx="13">
                  <c:v>26.696813466277504</c:v>
                </c:pt>
                <c:pt idx="14">
                  <c:v>26.753633147301262</c:v>
                </c:pt>
                <c:pt idx="15">
                  <c:v>26.76673318575585</c:v>
                </c:pt>
                <c:pt idx="16">
                  <c:v>26.851924722819589</c:v>
                </c:pt>
                <c:pt idx="17">
                  <c:v>26.872577660034214</c:v>
                </c:pt>
                <c:pt idx="18">
                  <c:v>26.908323623040616</c:v>
                </c:pt>
                <c:pt idx="19">
                  <c:v>26.967312242720016</c:v>
                </c:pt>
                <c:pt idx="20">
                  <c:v>27.132946000233598</c:v>
                </c:pt>
                <c:pt idx="21">
                  <c:v>27.287330812353115</c:v>
                </c:pt>
                <c:pt idx="22">
                  <c:v>27.433035429339736</c:v>
                </c:pt>
                <c:pt idx="23">
                  <c:v>27.569422151436065</c:v>
                </c:pt>
                <c:pt idx="24">
                  <c:v>27.827192520537938</c:v>
                </c:pt>
                <c:pt idx="25">
                  <c:v>27.812421900723301</c:v>
                </c:pt>
                <c:pt idx="26">
                  <c:v>27.92509765224813</c:v>
                </c:pt>
                <c:pt idx="27">
                  <c:v>28.147201578281397</c:v>
                </c:pt>
                <c:pt idx="28">
                  <c:v>28.231531998946945</c:v>
                </c:pt>
                <c:pt idx="29">
                  <c:v>28.234045461640768</c:v>
                </c:pt>
                <c:pt idx="30">
                  <c:v>28.249833748650111</c:v>
                </c:pt>
                <c:pt idx="31">
                  <c:v>28.343543109882685</c:v>
                </c:pt>
                <c:pt idx="32">
                  <c:v>28.374665485629396</c:v>
                </c:pt>
                <c:pt idx="33">
                  <c:v>28.461665929644546</c:v>
                </c:pt>
                <c:pt idx="34">
                  <c:v>28.606136430331777</c:v>
                </c:pt>
                <c:pt idx="35">
                  <c:v>28.625357381760317</c:v>
                </c:pt>
                <c:pt idx="36">
                  <c:v>28.671846165741808</c:v>
                </c:pt>
                <c:pt idx="37">
                  <c:v>28.612233277545126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0D-4C66-9398-FBC0A2EF2D57}"/>
            </c:ext>
          </c:extLst>
        </c:ser>
        <c:ser>
          <c:idx val="1"/>
          <c:order val="1"/>
          <c:tx>
            <c:v>Przewidywane Y</c:v>
          </c:tx>
          <c:spPr>
            <a:ln w="19050">
              <a:noFill/>
            </a:ln>
          </c:spPr>
          <c:xVal>
            <c:numRef>
              <c:f>[1]Arkusz4!$C$65:$C$102</c:f>
              <c:numCache>
                <c:formatCode>General</c:formatCode>
                <c:ptCount val="38"/>
                <c:pt idx="0">
                  <c:v>39.020000000000003</c:v>
                </c:pt>
                <c:pt idx="1">
                  <c:v>38.909999999999997</c:v>
                </c:pt>
                <c:pt idx="2">
                  <c:v>38.75</c:v>
                </c:pt>
                <c:pt idx="3">
                  <c:v>38.71</c:v>
                </c:pt>
                <c:pt idx="4">
                  <c:v>38.58</c:v>
                </c:pt>
                <c:pt idx="5">
                  <c:v>38.4</c:v>
                </c:pt>
                <c:pt idx="6">
                  <c:v>38.19</c:v>
                </c:pt>
                <c:pt idx="7">
                  <c:v>37.97</c:v>
                </c:pt>
                <c:pt idx="8">
                  <c:v>37.770000000000003</c:v>
                </c:pt>
                <c:pt idx="9">
                  <c:v>37.54</c:v>
                </c:pt>
                <c:pt idx="10">
                  <c:v>37.29</c:v>
                </c:pt>
                <c:pt idx="11">
                  <c:v>36.99</c:v>
                </c:pt>
                <c:pt idx="12">
                  <c:v>36.65</c:v>
                </c:pt>
                <c:pt idx="13">
                  <c:v>36.33</c:v>
                </c:pt>
                <c:pt idx="14">
                  <c:v>35.97</c:v>
                </c:pt>
                <c:pt idx="15">
                  <c:v>35.57</c:v>
                </c:pt>
                <c:pt idx="16">
                  <c:v>35.159999999999997</c:v>
                </c:pt>
                <c:pt idx="17">
                  <c:v>34.729999999999997</c:v>
                </c:pt>
                <c:pt idx="18">
                  <c:v>34.36</c:v>
                </c:pt>
                <c:pt idx="19">
                  <c:v>33.97</c:v>
                </c:pt>
                <c:pt idx="20">
                  <c:v>33.56</c:v>
                </c:pt>
                <c:pt idx="21">
                  <c:v>33.15</c:v>
                </c:pt>
                <c:pt idx="22">
                  <c:v>32.74</c:v>
                </c:pt>
                <c:pt idx="23">
                  <c:v>32.380000000000003</c:v>
                </c:pt>
                <c:pt idx="24">
                  <c:v>32.01</c:v>
                </c:pt>
                <c:pt idx="25">
                  <c:v>31.64</c:v>
                </c:pt>
                <c:pt idx="26">
                  <c:v>31.24</c:v>
                </c:pt>
                <c:pt idx="27">
                  <c:v>30.81</c:v>
                </c:pt>
                <c:pt idx="28">
                  <c:v>30.4</c:v>
                </c:pt>
                <c:pt idx="29">
                  <c:v>29.93</c:v>
                </c:pt>
                <c:pt idx="30">
                  <c:v>29.43</c:v>
                </c:pt>
                <c:pt idx="31">
                  <c:v>28.93</c:v>
                </c:pt>
                <c:pt idx="32">
                  <c:v>28.44</c:v>
                </c:pt>
                <c:pt idx="33">
                  <c:v>27.93</c:v>
                </c:pt>
                <c:pt idx="34">
                  <c:v>27.48</c:v>
                </c:pt>
                <c:pt idx="35">
                  <c:v>27.05</c:v>
                </c:pt>
                <c:pt idx="36">
                  <c:v>26.62</c:v>
                </c:pt>
                <c:pt idx="37">
                  <c:v>26.16</c:v>
                </c:pt>
              </c:numCache>
            </c:numRef>
          </c:xVal>
          <c:yVal>
            <c:numRef>
              <c:f>[1]Arkusz4!$U$112:$U$149</c:f>
              <c:numCache>
                <c:formatCode>General</c:formatCode>
                <c:ptCount val="38"/>
                <c:pt idx="0">
                  <c:v>26.052151353144893</c:v>
                </c:pt>
                <c:pt idx="1">
                  <c:v>26.116452536500574</c:v>
                </c:pt>
                <c:pt idx="2">
                  <c:v>26.230676243037088</c:v>
                </c:pt>
                <c:pt idx="3">
                  <c:v>26.321082319216206</c:v>
                </c:pt>
                <c:pt idx="4">
                  <c:v>26.377859936020641</c:v>
                </c:pt>
                <c:pt idx="5">
                  <c:v>26.338382695750816</c:v>
                </c:pt>
                <c:pt idx="6">
                  <c:v>26.343021934604721</c:v>
                </c:pt>
                <c:pt idx="7">
                  <c:v>26.390751428666597</c:v>
                </c:pt>
                <c:pt idx="8">
                  <c:v>26.361974740138024</c:v>
                </c:pt>
                <c:pt idx="9">
                  <c:v>26.411000291890929</c:v>
                </c:pt>
                <c:pt idx="10">
                  <c:v>26.396646428336258</c:v>
                </c:pt>
                <c:pt idx="11">
                  <c:v>26.500226010951447</c:v>
                </c:pt>
                <c:pt idx="12">
                  <c:v>26.603184768835614</c:v>
                </c:pt>
                <c:pt idx="13">
                  <c:v>26.673552579656459</c:v>
                </c:pt>
                <c:pt idx="14">
                  <c:v>26.719975629014563</c:v>
                </c:pt>
                <c:pt idx="15">
                  <c:v>26.838388540192202</c:v>
                </c:pt>
                <c:pt idx="16">
                  <c:v>26.779516432918228</c:v>
                </c:pt>
                <c:pt idx="17">
                  <c:v>26.855355530887902</c:v>
                </c:pt>
                <c:pt idx="18">
                  <c:v>26.980125627746968</c:v>
                </c:pt>
                <c:pt idx="19">
                  <c:v>27.051992137451894</c:v>
                </c:pt>
                <c:pt idx="20">
                  <c:v>27.118806227177256</c:v>
                </c:pt>
                <c:pt idx="21">
                  <c:v>27.263000281973127</c:v>
                </c:pt>
                <c:pt idx="22">
                  <c:v>27.439712500839157</c:v>
                </c:pt>
                <c:pt idx="23">
                  <c:v>27.56519320532044</c:v>
                </c:pt>
                <c:pt idx="24">
                  <c:v>27.829280297471669</c:v>
                </c:pt>
                <c:pt idx="25">
                  <c:v>27.869624185277125</c:v>
                </c:pt>
                <c:pt idx="26">
                  <c:v>27.962113222763776</c:v>
                </c:pt>
                <c:pt idx="27">
                  <c:v>28.063838800384449</c:v>
                </c:pt>
                <c:pt idx="28">
                  <c:v>28.20403017245285</c:v>
                </c:pt>
                <c:pt idx="29">
                  <c:v>28.292138505894876</c:v>
                </c:pt>
                <c:pt idx="30">
                  <c:v>28.237902485659035</c:v>
                </c:pt>
                <c:pt idx="31">
                  <c:v>28.281149600174317</c:v>
                </c:pt>
                <c:pt idx="32">
                  <c:v>28.388829969641428</c:v>
                </c:pt>
                <c:pt idx="33">
                  <c:v>28.444673785069391</c:v>
                </c:pt>
                <c:pt idx="34">
                  <c:v>28.578841027504652</c:v>
                </c:pt>
                <c:pt idx="35">
                  <c:v>28.639118324468928</c:v>
                </c:pt>
                <c:pt idx="36">
                  <c:v>28.660219888680015</c:v>
                </c:pt>
                <c:pt idx="37">
                  <c:v>28.651874590084741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0D-4C66-9398-FBC0A2EF2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563327"/>
        <c:axId val="583564287"/>
      </c:scatterChart>
      <c:valAx>
        <c:axId val="583563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Zmienna X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3564287"/>
        <c:crosses val="autoZero"/>
        <c:crossBetween val="midCat"/>
      </c:valAx>
      <c:valAx>
        <c:axId val="5835642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356332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Zmienna X 3 Rozkład linii dopasowanej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[1]Arkusz4!$D$65:$D$102</c:f>
              <c:numCache>
                <c:formatCode>General</c:formatCode>
                <c:ptCount val="38"/>
                <c:pt idx="0">
                  <c:v>52.1</c:v>
                </c:pt>
                <c:pt idx="1">
                  <c:v>52.6</c:v>
                </c:pt>
                <c:pt idx="2">
                  <c:v>53.11</c:v>
                </c:pt>
                <c:pt idx="3">
                  <c:v>53.62</c:v>
                </c:pt>
                <c:pt idx="4">
                  <c:v>54.12</c:v>
                </c:pt>
                <c:pt idx="5">
                  <c:v>55.02</c:v>
                </c:pt>
                <c:pt idx="6">
                  <c:v>55.91</c:v>
                </c:pt>
                <c:pt idx="7">
                  <c:v>56.8</c:v>
                </c:pt>
                <c:pt idx="8">
                  <c:v>57.7</c:v>
                </c:pt>
                <c:pt idx="9">
                  <c:v>58.59</c:v>
                </c:pt>
                <c:pt idx="10">
                  <c:v>59.44</c:v>
                </c:pt>
                <c:pt idx="11">
                  <c:v>60.3</c:v>
                </c:pt>
                <c:pt idx="12">
                  <c:v>61.15</c:v>
                </c:pt>
                <c:pt idx="13">
                  <c:v>62</c:v>
                </c:pt>
                <c:pt idx="14">
                  <c:v>62.85</c:v>
                </c:pt>
                <c:pt idx="15">
                  <c:v>63.45</c:v>
                </c:pt>
                <c:pt idx="16">
                  <c:v>64.05</c:v>
                </c:pt>
                <c:pt idx="17">
                  <c:v>64.650000000000006</c:v>
                </c:pt>
                <c:pt idx="18">
                  <c:v>65.25</c:v>
                </c:pt>
                <c:pt idx="19">
                  <c:v>65.849999999999994</c:v>
                </c:pt>
                <c:pt idx="20">
                  <c:v>66.42</c:v>
                </c:pt>
                <c:pt idx="21">
                  <c:v>66.989999999999995</c:v>
                </c:pt>
                <c:pt idx="22">
                  <c:v>67.56</c:v>
                </c:pt>
                <c:pt idx="23">
                  <c:v>68.14</c:v>
                </c:pt>
                <c:pt idx="24">
                  <c:v>68.709999999999994</c:v>
                </c:pt>
                <c:pt idx="25">
                  <c:v>69.41</c:v>
                </c:pt>
                <c:pt idx="26">
                  <c:v>70.11</c:v>
                </c:pt>
                <c:pt idx="27">
                  <c:v>70.8</c:v>
                </c:pt>
                <c:pt idx="28">
                  <c:v>71.5</c:v>
                </c:pt>
                <c:pt idx="29">
                  <c:v>72.2</c:v>
                </c:pt>
                <c:pt idx="30">
                  <c:v>72.599999999999994</c:v>
                </c:pt>
                <c:pt idx="31">
                  <c:v>73</c:v>
                </c:pt>
                <c:pt idx="32">
                  <c:v>73.41</c:v>
                </c:pt>
                <c:pt idx="33">
                  <c:v>73.81</c:v>
                </c:pt>
                <c:pt idx="34">
                  <c:v>74.209999999999994</c:v>
                </c:pt>
                <c:pt idx="35">
                  <c:v>74.59</c:v>
                </c:pt>
                <c:pt idx="36">
                  <c:v>74.98</c:v>
                </c:pt>
                <c:pt idx="37">
                  <c:v>75.37</c:v>
                </c:pt>
              </c:numCache>
            </c:numRef>
          </c:xVal>
          <c:yVal>
            <c:numRef>
              <c:f>[1]Arkusz4!$A$65:$A$102</c:f>
              <c:numCache>
                <c:formatCode>General</c:formatCode>
                <c:ptCount val="38"/>
                <c:pt idx="0">
                  <c:v>26.108963265626635</c:v>
                </c:pt>
                <c:pt idx="1">
                  <c:v>26.080598220791387</c:v>
                </c:pt>
                <c:pt idx="2">
                  <c:v>26.172207148160084</c:v>
                </c:pt>
                <c:pt idx="3">
                  <c:v>26.240662482996122</c:v>
                </c:pt>
                <c:pt idx="4">
                  <c:v>26.35459798461391</c:v>
                </c:pt>
                <c:pt idx="5">
                  <c:v>26.415613161485624</c:v>
                </c:pt>
                <c:pt idx="6">
                  <c:v>26.413768372199044</c:v>
                </c:pt>
                <c:pt idx="7">
                  <c:v>26.494641619686462</c:v>
                </c:pt>
                <c:pt idx="8">
                  <c:v>26.322077874962332</c:v>
                </c:pt>
                <c:pt idx="9">
                  <c:v>26.386949771936749</c:v>
                </c:pt>
                <c:pt idx="10">
                  <c:v>26.35553807058356</c:v>
                </c:pt>
                <c:pt idx="11">
                  <c:v>26.514068416036146</c:v>
                </c:pt>
                <c:pt idx="12">
                  <c:v>26.610152763845043</c:v>
                </c:pt>
                <c:pt idx="13">
                  <c:v>26.696813466277504</c:v>
                </c:pt>
                <c:pt idx="14">
                  <c:v>26.753633147301262</c:v>
                </c:pt>
                <c:pt idx="15">
                  <c:v>26.76673318575585</c:v>
                </c:pt>
                <c:pt idx="16">
                  <c:v>26.851924722819589</c:v>
                </c:pt>
                <c:pt idx="17">
                  <c:v>26.872577660034214</c:v>
                </c:pt>
                <c:pt idx="18">
                  <c:v>26.908323623040616</c:v>
                </c:pt>
                <c:pt idx="19">
                  <c:v>26.967312242720016</c:v>
                </c:pt>
                <c:pt idx="20">
                  <c:v>27.132946000233598</c:v>
                </c:pt>
                <c:pt idx="21">
                  <c:v>27.287330812353115</c:v>
                </c:pt>
                <c:pt idx="22">
                  <c:v>27.433035429339736</c:v>
                </c:pt>
                <c:pt idx="23">
                  <c:v>27.569422151436065</c:v>
                </c:pt>
                <c:pt idx="24">
                  <c:v>27.827192520537938</c:v>
                </c:pt>
                <c:pt idx="25">
                  <c:v>27.812421900723301</c:v>
                </c:pt>
                <c:pt idx="26">
                  <c:v>27.92509765224813</c:v>
                </c:pt>
                <c:pt idx="27">
                  <c:v>28.147201578281397</c:v>
                </c:pt>
                <c:pt idx="28">
                  <c:v>28.231531998946945</c:v>
                </c:pt>
                <c:pt idx="29">
                  <c:v>28.234045461640768</c:v>
                </c:pt>
                <c:pt idx="30">
                  <c:v>28.249833748650111</c:v>
                </c:pt>
                <c:pt idx="31">
                  <c:v>28.343543109882685</c:v>
                </c:pt>
                <c:pt idx="32">
                  <c:v>28.374665485629396</c:v>
                </c:pt>
                <c:pt idx="33">
                  <c:v>28.461665929644546</c:v>
                </c:pt>
                <c:pt idx="34">
                  <c:v>28.606136430331777</c:v>
                </c:pt>
                <c:pt idx="35">
                  <c:v>28.625357381760317</c:v>
                </c:pt>
                <c:pt idx="36">
                  <c:v>28.671846165741808</c:v>
                </c:pt>
                <c:pt idx="37">
                  <c:v>28.612233277545126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7F-4024-88E9-658750A3D228}"/>
            </c:ext>
          </c:extLst>
        </c:ser>
        <c:ser>
          <c:idx val="1"/>
          <c:order val="1"/>
          <c:tx>
            <c:v>Przewidywane Y</c:v>
          </c:tx>
          <c:spPr>
            <a:ln w="19050">
              <a:noFill/>
            </a:ln>
          </c:spPr>
          <c:xVal>
            <c:numRef>
              <c:f>[1]Arkusz4!$D$65:$D$102</c:f>
              <c:numCache>
                <c:formatCode>General</c:formatCode>
                <c:ptCount val="38"/>
                <c:pt idx="0">
                  <c:v>52.1</c:v>
                </c:pt>
                <c:pt idx="1">
                  <c:v>52.6</c:v>
                </c:pt>
                <c:pt idx="2">
                  <c:v>53.11</c:v>
                </c:pt>
                <c:pt idx="3">
                  <c:v>53.62</c:v>
                </c:pt>
                <c:pt idx="4">
                  <c:v>54.12</c:v>
                </c:pt>
                <c:pt idx="5">
                  <c:v>55.02</c:v>
                </c:pt>
                <c:pt idx="6">
                  <c:v>55.91</c:v>
                </c:pt>
                <c:pt idx="7">
                  <c:v>56.8</c:v>
                </c:pt>
                <c:pt idx="8">
                  <c:v>57.7</c:v>
                </c:pt>
                <c:pt idx="9">
                  <c:v>58.59</c:v>
                </c:pt>
                <c:pt idx="10">
                  <c:v>59.44</c:v>
                </c:pt>
                <c:pt idx="11">
                  <c:v>60.3</c:v>
                </c:pt>
                <c:pt idx="12">
                  <c:v>61.15</c:v>
                </c:pt>
                <c:pt idx="13">
                  <c:v>62</c:v>
                </c:pt>
                <c:pt idx="14">
                  <c:v>62.85</c:v>
                </c:pt>
                <c:pt idx="15">
                  <c:v>63.45</c:v>
                </c:pt>
                <c:pt idx="16">
                  <c:v>64.05</c:v>
                </c:pt>
                <c:pt idx="17">
                  <c:v>64.650000000000006</c:v>
                </c:pt>
                <c:pt idx="18">
                  <c:v>65.25</c:v>
                </c:pt>
                <c:pt idx="19">
                  <c:v>65.849999999999994</c:v>
                </c:pt>
                <c:pt idx="20">
                  <c:v>66.42</c:v>
                </c:pt>
                <c:pt idx="21">
                  <c:v>66.989999999999995</c:v>
                </c:pt>
                <c:pt idx="22">
                  <c:v>67.56</c:v>
                </c:pt>
                <c:pt idx="23">
                  <c:v>68.14</c:v>
                </c:pt>
                <c:pt idx="24">
                  <c:v>68.709999999999994</c:v>
                </c:pt>
                <c:pt idx="25">
                  <c:v>69.41</c:v>
                </c:pt>
                <c:pt idx="26">
                  <c:v>70.11</c:v>
                </c:pt>
                <c:pt idx="27">
                  <c:v>70.8</c:v>
                </c:pt>
                <c:pt idx="28">
                  <c:v>71.5</c:v>
                </c:pt>
                <c:pt idx="29">
                  <c:v>72.2</c:v>
                </c:pt>
                <c:pt idx="30">
                  <c:v>72.599999999999994</c:v>
                </c:pt>
                <c:pt idx="31">
                  <c:v>73</c:v>
                </c:pt>
                <c:pt idx="32">
                  <c:v>73.41</c:v>
                </c:pt>
                <c:pt idx="33">
                  <c:v>73.81</c:v>
                </c:pt>
                <c:pt idx="34">
                  <c:v>74.209999999999994</c:v>
                </c:pt>
                <c:pt idx="35">
                  <c:v>74.59</c:v>
                </c:pt>
                <c:pt idx="36">
                  <c:v>74.98</c:v>
                </c:pt>
                <c:pt idx="37">
                  <c:v>75.37</c:v>
                </c:pt>
              </c:numCache>
            </c:numRef>
          </c:xVal>
          <c:yVal>
            <c:numRef>
              <c:f>[1]Arkusz4!$U$112:$U$149</c:f>
              <c:numCache>
                <c:formatCode>General</c:formatCode>
                <c:ptCount val="38"/>
                <c:pt idx="0">
                  <c:v>26.052151353144893</c:v>
                </c:pt>
                <c:pt idx="1">
                  <c:v>26.116452536500574</c:v>
                </c:pt>
                <c:pt idx="2">
                  <c:v>26.230676243037088</c:v>
                </c:pt>
                <c:pt idx="3">
                  <c:v>26.321082319216206</c:v>
                </c:pt>
                <c:pt idx="4">
                  <c:v>26.377859936020641</c:v>
                </c:pt>
                <c:pt idx="5">
                  <c:v>26.338382695750816</c:v>
                </c:pt>
                <c:pt idx="6">
                  <c:v>26.343021934604721</c:v>
                </c:pt>
                <c:pt idx="7">
                  <c:v>26.390751428666597</c:v>
                </c:pt>
                <c:pt idx="8">
                  <c:v>26.361974740138024</c:v>
                </c:pt>
                <c:pt idx="9">
                  <c:v>26.411000291890929</c:v>
                </c:pt>
                <c:pt idx="10">
                  <c:v>26.396646428336258</c:v>
                </c:pt>
                <c:pt idx="11">
                  <c:v>26.500226010951447</c:v>
                </c:pt>
                <c:pt idx="12">
                  <c:v>26.603184768835614</c:v>
                </c:pt>
                <c:pt idx="13">
                  <c:v>26.673552579656459</c:v>
                </c:pt>
                <c:pt idx="14">
                  <c:v>26.719975629014563</c:v>
                </c:pt>
                <c:pt idx="15">
                  <c:v>26.838388540192202</c:v>
                </c:pt>
                <c:pt idx="16">
                  <c:v>26.779516432918228</c:v>
                </c:pt>
                <c:pt idx="17">
                  <c:v>26.855355530887902</c:v>
                </c:pt>
                <c:pt idx="18">
                  <c:v>26.980125627746968</c:v>
                </c:pt>
                <c:pt idx="19">
                  <c:v>27.051992137451894</c:v>
                </c:pt>
                <c:pt idx="20">
                  <c:v>27.118806227177256</c:v>
                </c:pt>
                <c:pt idx="21">
                  <c:v>27.263000281973127</c:v>
                </c:pt>
                <c:pt idx="22">
                  <c:v>27.439712500839157</c:v>
                </c:pt>
                <c:pt idx="23">
                  <c:v>27.56519320532044</c:v>
                </c:pt>
                <c:pt idx="24">
                  <c:v>27.829280297471669</c:v>
                </c:pt>
                <c:pt idx="25">
                  <c:v>27.869624185277125</c:v>
                </c:pt>
                <c:pt idx="26">
                  <c:v>27.962113222763776</c:v>
                </c:pt>
                <c:pt idx="27">
                  <c:v>28.063838800384449</c:v>
                </c:pt>
                <c:pt idx="28">
                  <c:v>28.20403017245285</c:v>
                </c:pt>
                <c:pt idx="29">
                  <c:v>28.292138505894876</c:v>
                </c:pt>
                <c:pt idx="30">
                  <c:v>28.237902485659035</c:v>
                </c:pt>
                <c:pt idx="31">
                  <c:v>28.281149600174317</c:v>
                </c:pt>
                <c:pt idx="32">
                  <c:v>28.388829969641428</c:v>
                </c:pt>
                <c:pt idx="33">
                  <c:v>28.444673785069391</c:v>
                </c:pt>
                <c:pt idx="34">
                  <c:v>28.578841027504652</c:v>
                </c:pt>
                <c:pt idx="35">
                  <c:v>28.639118324468928</c:v>
                </c:pt>
                <c:pt idx="36">
                  <c:v>28.660219888680015</c:v>
                </c:pt>
                <c:pt idx="37">
                  <c:v>28.651874590084741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7F-4024-88E9-658750A3D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561887"/>
        <c:axId val="583563327"/>
      </c:scatterChart>
      <c:valAx>
        <c:axId val="583561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Zmienna X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3563327"/>
        <c:crosses val="autoZero"/>
        <c:crossBetween val="midCat"/>
      </c:valAx>
      <c:valAx>
        <c:axId val="5835633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356188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Zmienna X 4 Rozkład linii dopasowanej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[1]Arkusz4!$E$65:$E$102</c:f>
              <c:numCache>
                <c:formatCode>General</c:formatCode>
                <c:ptCount val="38"/>
                <c:pt idx="0">
                  <c:v>1.151</c:v>
                </c:pt>
                <c:pt idx="1">
                  <c:v>1.2949999999999999</c:v>
                </c:pt>
                <c:pt idx="2">
                  <c:v>1.5289999999999999</c:v>
                </c:pt>
                <c:pt idx="3">
                  <c:v>1.911</c:v>
                </c:pt>
                <c:pt idx="4">
                  <c:v>2.0950000000000002</c:v>
                </c:pt>
                <c:pt idx="5">
                  <c:v>2.2400000000000002</c:v>
                </c:pt>
                <c:pt idx="6">
                  <c:v>2.407</c:v>
                </c:pt>
                <c:pt idx="7">
                  <c:v>2.4350000000000001</c:v>
                </c:pt>
                <c:pt idx="8">
                  <c:v>2.556</c:v>
                </c:pt>
                <c:pt idx="9">
                  <c:v>2.7810000000000001</c:v>
                </c:pt>
                <c:pt idx="10">
                  <c:v>3.2629999999999999</c:v>
                </c:pt>
                <c:pt idx="11">
                  <c:v>4.4130000000000003</c:v>
                </c:pt>
                <c:pt idx="12">
                  <c:v>5.3979999999999997</c:v>
                </c:pt>
                <c:pt idx="13">
                  <c:v>5.9989999999999997</c:v>
                </c:pt>
                <c:pt idx="14">
                  <c:v>5.843</c:v>
                </c:pt>
                <c:pt idx="15">
                  <c:v>5.7240000000000002</c:v>
                </c:pt>
                <c:pt idx="16">
                  <c:v>5.7889999999999997</c:v>
                </c:pt>
                <c:pt idx="17">
                  <c:v>5.8529999999999998</c:v>
                </c:pt>
                <c:pt idx="18">
                  <c:v>5.7949999999999999</c:v>
                </c:pt>
                <c:pt idx="19">
                  <c:v>5.65</c:v>
                </c:pt>
                <c:pt idx="20">
                  <c:v>5.6440000000000001</c:v>
                </c:pt>
                <c:pt idx="21">
                  <c:v>4.7249999999999996</c:v>
                </c:pt>
                <c:pt idx="22">
                  <c:v>4.7629999999999999</c:v>
                </c:pt>
                <c:pt idx="23">
                  <c:v>4.7960000000000003</c:v>
                </c:pt>
                <c:pt idx="24">
                  <c:v>4.8869999999999996</c:v>
                </c:pt>
                <c:pt idx="25">
                  <c:v>4.9210000000000003</c:v>
                </c:pt>
                <c:pt idx="26">
                  <c:v>4.9550000000000001</c:v>
                </c:pt>
                <c:pt idx="27">
                  <c:v>5.0339999999999998</c:v>
                </c:pt>
                <c:pt idx="28">
                  <c:v>5.1120000000000001</c:v>
                </c:pt>
                <c:pt idx="29">
                  <c:v>5.1909999999999998</c:v>
                </c:pt>
                <c:pt idx="30">
                  <c:v>5.2939999999999996</c:v>
                </c:pt>
                <c:pt idx="31">
                  <c:v>5.5410000000000004</c:v>
                </c:pt>
                <c:pt idx="32">
                  <c:v>5.835</c:v>
                </c:pt>
                <c:pt idx="33">
                  <c:v>5.82</c:v>
                </c:pt>
                <c:pt idx="34">
                  <c:v>5.6150000000000002</c:v>
                </c:pt>
                <c:pt idx="35">
                  <c:v>5.0650000000000004</c:v>
                </c:pt>
                <c:pt idx="36">
                  <c:v>5.2149999999999999</c:v>
                </c:pt>
                <c:pt idx="37">
                  <c:v>5.2149999999999999</c:v>
                </c:pt>
              </c:numCache>
            </c:numRef>
          </c:xVal>
          <c:yVal>
            <c:numRef>
              <c:f>[1]Arkusz4!$A$65:$A$102</c:f>
              <c:numCache>
                <c:formatCode>General</c:formatCode>
                <c:ptCount val="38"/>
                <c:pt idx="0">
                  <c:v>26.108963265626635</c:v>
                </c:pt>
                <c:pt idx="1">
                  <c:v>26.080598220791387</c:v>
                </c:pt>
                <c:pt idx="2">
                  <c:v>26.172207148160084</c:v>
                </c:pt>
                <c:pt idx="3">
                  <c:v>26.240662482996122</c:v>
                </c:pt>
                <c:pt idx="4">
                  <c:v>26.35459798461391</c:v>
                </c:pt>
                <c:pt idx="5">
                  <c:v>26.415613161485624</c:v>
                </c:pt>
                <c:pt idx="6">
                  <c:v>26.413768372199044</c:v>
                </c:pt>
                <c:pt idx="7">
                  <c:v>26.494641619686462</c:v>
                </c:pt>
                <c:pt idx="8">
                  <c:v>26.322077874962332</c:v>
                </c:pt>
                <c:pt idx="9">
                  <c:v>26.386949771936749</c:v>
                </c:pt>
                <c:pt idx="10">
                  <c:v>26.35553807058356</c:v>
                </c:pt>
                <c:pt idx="11">
                  <c:v>26.514068416036146</c:v>
                </c:pt>
                <c:pt idx="12">
                  <c:v>26.610152763845043</c:v>
                </c:pt>
                <c:pt idx="13">
                  <c:v>26.696813466277504</c:v>
                </c:pt>
                <c:pt idx="14">
                  <c:v>26.753633147301262</c:v>
                </c:pt>
                <c:pt idx="15">
                  <c:v>26.76673318575585</c:v>
                </c:pt>
                <c:pt idx="16">
                  <c:v>26.851924722819589</c:v>
                </c:pt>
                <c:pt idx="17">
                  <c:v>26.872577660034214</c:v>
                </c:pt>
                <c:pt idx="18">
                  <c:v>26.908323623040616</c:v>
                </c:pt>
                <c:pt idx="19">
                  <c:v>26.967312242720016</c:v>
                </c:pt>
                <c:pt idx="20">
                  <c:v>27.132946000233598</c:v>
                </c:pt>
                <c:pt idx="21">
                  <c:v>27.287330812353115</c:v>
                </c:pt>
                <c:pt idx="22">
                  <c:v>27.433035429339736</c:v>
                </c:pt>
                <c:pt idx="23">
                  <c:v>27.569422151436065</c:v>
                </c:pt>
                <c:pt idx="24">
                  <c:v>27.827192520537938</c:v>
                </c:pt>
                <c:pt idx="25">
                  <c:v>27.812421900723301</c:v>
                </c:pt>
                <c:pt idx="26">
                  <c:v>27.92509765224813</c:v>
                </c:pt>
                <c:pt idx="27">
                  <c:v>28.147201578281397</c:v>
                </c:pt>
                <c:pt idx="28">
                  <c:v>28.231531998946945</c:v>
                </c:pt>
                <c:pt idx="29">
                  <c:v>28.234045461640768</c:v>
                </c:pt>
                <c:pt idx="30">
                  <c:v>28.249833748650111</c:v>
                </c:pt>
                <c:pt idx="31">
                  <c:v>28.343543109882685</c:v>
                </c:pt>
                <c:pt idx="32">
                  <c:v>28.374665485629396</c:v>
                </c:pt>
                <c:pt idx="33">
                  <c:v>28.461665929644546</c:v>
                </c:pt>
                <c:pt idx="34">
                  <c:v>28.606136430331777</c:v>
                </c:pt>
                <c:pt idx="35">
                  <c:v>28.625357381760317</c:v>
                </c:pt>
                <c:pt idx="36">
                  <c:v>28.671846165741808</c:v>
                </c:pt>
                <c:pt idx="37">
                  <c:v>28.612233277545126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02-4068-8B84-82B4619F2841}"/>
            </c:ext>
          </c:extLst>
        </c:ser>
        <c:ser>
          <c:idx val="1"/>
          <c:order val="1"/>
          <c:tx>
            <c:v>Przewidywane Y</c:v>
          </c:tx>
          <c:spPr>
            <a:ln w="19050">
              <a:noFill/>
            </a:ln>
          </c:spPr>
          <c:xVal>
            <c:numRef>
              <c:f>[1]Arkusz4!$E$65:$E$102</c:f>
              <c:numCache>
                <c:formatCode>General</c:formatCode>
                <c:ptCount val="38"/>
                <c:pt idx="0">
                  <c:v>1.151</c:v>
                </c:pt>
                <c:pt idx="1">
                  <c:v>1.2949999999999999</c:v>
                </c:pt>
                <c:pt idx="2">
                  <c:v>1.5289999999999999</c:v>
                </c:pt>
                <c:pt idx="3">
                  <c:v>1.911</c:v>
                </c:pt>
                <c:pt idx="4">
                  <c:v>2.0950000000000002</c:v>
                </c:pt>
                <c:pt idx="5">
                  <c:v>2.2400000000000002</c:v>
                </c:pt>
                <c:pt idx="6">
                  <c:v>2.407</c:v>
                </c:pt>
                <c:pt idx="7">
                  <c:v>2.4350000000000001</c:v>
                </c:pt>
                <c:pt idx="8">
                  <c:v>2.556</c:v>
                </c:pt>
                <c:pt idx="9">
                  <c:v>2.7810000000000001</c:v>
                </c:pt>
                <c:pt idx="10">
                  <c:v>3.2629999999999999</c:v>
                </c:pt>
                <c:pt idx="11">
                  <c:v>4.4130000000000003</c:v>
                </c:pt>
                <c:pt idx="12">
                  <c:v>5.3979999999999997</c:v>
                </c:pt>
                <c:pt idx="13">
                  <c:v>5.9989999999999997</c:v>
                </c:pt>
                <c:pt idx="14">
                  <c:v>5.843</c:v>
                </c:pt>
                <c:pt idx="15">
                  <c:v>5.7240000000000002</c:v>
                </c:pt>
                <c:pt idx="16">
                  <c:v>5.7889999999999997</c:v>
                </c:pt>
                <c:pt idx="17">
                  <c:v>5.8529999999999998</c:v>
                </c:pt>
                <c:pt idx="18">
                  <c:v>5.7949999999999999</c:v>
                </c:pt>
                <c:pt idx="19">
                  <c:v>5.65</c:v>
                </c:pt>
                <c:pt idx="20">
                  <c:v>5.6440000000000001</c:v>
                </c:pt>
                <c:pt idx="21">
                  <c:v>4.7249999999999996</c:v>
                </c:pt>
                <c:pt idx="22">
                  <c:v>4.7629999999999999</c:v>
                </c:pt>
                <c:pt idx="23">
                  <c:v>4.7960000000000003</c:v>
                </c:pt>
                <c:pt idx="24">
                  <c:v>4.8869999999999996</c:v>
                </c:pt>
                <c:pt idx="25">
                  <c:v>4.9210000000000003</c:v>
                </c:pt>
                <c:pt idx="26">
                  <c:v>4.9550000000000001</c:v>
                </c:pt>
                <c:pt idx="27">
                  <c:v>5.0339999999999998</c:v>
                </c:pt>
                <c:pt idx="28">
                  <c:v>5.1120000000000001</c:v>
                </c:pt>
                <c:pt idx="29">
                  <c:v>5.1909999999999998</c:v>
                </c:pt>
                <c:pt idx="30">
                  <c:v>5.2939999999999996</c:v>
                </c:pt>
                <c:pt idx="31">
                  <c:v>5.5410000000000004</c:v>
                </c:pt>
                <c:pt idx="32">
                  <c:v>5.835</c:v>
                </c:pt>
                <c:pt idx="33">
                  <c:v>5.82</c:v>
                </c:pt>
                <c:pt idx="34">
                  <c:v>5.6150000000000002</c:v>
                </c:pt>
                <c:pt idx="35">
                  <c:v>5.0650000000000004</c:v>
                </c:pt>
                <c:pt idx="36">
                  <c:v>5.2149999999999999</c:v>
                </c:pt>
                <c:pt idx="37">
                  <c:v>5.2149999999999999</c:v>
                </c:pt>
              </c:numCache>
            </c:numRef>
          </c:xVal>
          <c:yVal>
            <c:numRef>
              <c:f>[1]Arkusz4!$U$112:$U$149</c:f>
              <c:numCache>
                <c:formatCode>General</c:formatCode>
                <c:ptCount val="38"/>
                <c:pt idx="0">
                  <c:v>26.052151353144893</c:v>
                </c:pt>
                <c:pt idx="1">
                  <c:v>26.116452536500574</c:v>
                </c:pt>
                <c:pt idx="2">
                  <c:v>26.230676243037088</c:v>
                </c:pt>
                <c:pt idx="3">
                  <c:v>26.321082319216206</c:v>
                </c:pt>
                <c:pt idx="4">
                  <c:v>26.377859936020641</c:v>
                </c:pt>
                <c:pt idx="5">
                  <c:v>26.338382695750816</c:v>
                </c:pt>
                <c:pt idx="6">
                  <c:v>26.343021934604721</c:v>
                </c:pt>
                <c:pt idx="7">
                  <c:v>26.390751428666597</c:v>
                </c:pt>
                <c:pt idx="8">
                  <c:v>26.361974740138024</c:v>
                </c:pt>
                <c:pt idx="9">
                  <c:v>26.411000291890929</c:v>
                </c:pt>
                <c:pt idx="10">
                  <c:v>26.396646428336258</c:v>
                </c:pt>
                <c:pt idx="11">
                  <c:v>26.500226010951447</c:v>
                </c:pt>
                <c:pt idx="12">
                  <c:v>26.603184768835614</c:v>
                </c:pt>
                <c:pt idx="13">
                  <c:v>26.673552579656459</c:v>
                </c:pt>
                <c:pt idx="14">
                  <c:v>26.719975629014563</c:v>
                </c:pt>
                <c:pt idx="15">
                  <c:v>26.838388540192202</c:v>
                </c:pt>
                <c:pt idx="16">
                  <c:v>26.779516432918228</c:v>
                </c:pt>
                <c:pt idx="17">
                  <c:v>26.855355530887902</c:v>
                </c:pt>
                <c:pt idx="18">
                  <c:v>26.980125627746968</c:v>
                </c:pt>
                <c:pt idx="19">
                  <c:v>27.051992137451894</c:v>
                </c:pt>
                <c:pt idx="20">
                  <c:v>27.118806227177256</c:v>
                </c:pt>
                <c:pt idx="21">
                  <c:v>27.263000281973127</c:v>
                </c:pt>
                <c:pt idx="22">
                  <c:v>27.439712500839157</c:v>
                </c:pt>
                <c:pt idx="23">
                  <c:v>27.56519320532044</c:v>
                </c:pt>
                <c:pt idx="24">
                  <c:v>27.829280297471669</c:v>
                </c:pt>
                <c:pt idx="25">
                  <c:v>27.869624185277125</c:v>
                </c:pt>
                <c:pt idx="26">
                  <c:v>27.962113222763776</c:v>
                </c:pt>
                <c:pt idx="27">
                  <c:v>28.063838800384449</c:v>
                </c:pt>
                <c:pt idx="28">
                  <c:v>28.20403017245285</c:v>
                </c:pt>
                <c:pt idx="29">
                  <c:v>28.292138505894876</c:v>
                </c:pt>
                <c:pt idx="30">
                  <c:v>28.237902485659035</c:v>
                </c:pt>
                <c:pt idx="31">
                  <c:v>28.281149600174317</c:v>
                </c:pt>
                <c:pt idx="32">
                  <c:v>28.388829969641428</c:v>
                </c:pt>
                <c:pt idx="33">
                  <c:v>28.444673785069391</c:v>
                </c:pt>
                <c:pt idx="34">
                  <c:v>28.578841027504652</c:v>
                </c:pt>
                <c:pt idx="35">
                  <c:v>28.639118324468928</c:v>
                </c:pt>
                <c:pt idx="36">
                  <c:v>28.660219888680015</c:v>
                </c:pt>
                <c:pt idx="37">
                  <c:v>28.651874590084741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02-4068-8B84-82B4619F2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689087"/>
        <c:axId val="587683327"/>
      </c:scatterChart>
      <c:valAx>
        <c:axId val="587689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Zmienna X 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7683327"/>
        <c:crosses val="autoZero"/>
        <c:crossBetween val="midCat"/>
      </c:valAx>
      <c:valAx>
        <c:axId val="5876833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768908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Zmienna X 5 Rozkład linii dopasowanej</a:t>
            </a:r>
          </a:p>
        </c:rich>
      </c:tx>
      <c:layout>
        <c:manualLayout>
          <c:xMode val="edge"/>
          <c:yMode val="edge"/>
          <c:x val="0.17306073262581309"/>
          <c:y val="0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[1]Arkusz4!$F$65:$F$102</c:f>
              <c:numCache>
                <c:formatCode>General</c:formatCode>
                <c:ptCount val="38"/>
                <c:pt idx="0">
                  <c:v>7.85</c:v>
                </c:pt>
                <c:pt idx="1">
                  <c:v>7.73</c:v>
                </c:pt>
                <c:pt idx="2">
                  <c:v>7.65</c:v>
                </c:pt>
                <c:pt idx="3">
                  <c:v>7.02</c:v>
                </c:pt>
                <c:pt idx="4">
                  <c:v>6.98</c:v>
                </c:pt>
                <c:pt idx="5">
                  <c:v>7.46</c:v>
                </c:pt>
                <c:pt idx="6">
                  <c:v>8.15</c:v>
                </c:pt>
                <c:pt idx="7">
                  <c:v>8.4499999999999993</c:v>
                </c:pt>
                <c:pt idx="8">
                  <c:v>8.49</c:v>
                </c:pt>
                <c:pt idx="9">
                  <c:v>9.59</c:v>
                </c:pt>
                <c:pt idx="10">
                  <c:v>9.82</c:v>
                </c:pt>
                <c:pt idx="11">
                  <c:v>10.19</c:v>
                </c:pt>
                <c:pt idx="12">
                  <c:v>12.02</c:v>
                </c:pt>
                <c:pt idx="13">
                  <c:v>11.54</c:v>
                </c:pt>
                <c:pt idx="14">
                  <c:v>11.93</c:v>
                </c:pt>
                <c:pt idx="15">
                  <c:v>12.68</c:v>
                </c:pt>
                <c:pt idx="16">
                  <c:v>13.36</c:v>
                </c:pt>
                <c:pt idx="17">
                  <c:v>13.9</c:v>
                </c:pt>
                <c:pt idx="18">
                  <c:v>13.43</c:v>
                </c:pt>
                <c:pt idx="19">
                  <c:v>15.24</c:v>
                </c:pt>
                <c:pt idx="20">
                  <c:v>15.64</c:v>
                </c:pt>
                <c:pt idx="21">
                  <c:v>19.64</c:v>
                </c:pt>
                <c:pt idx="22">
                  <c:v>22.4</c:v>
                </c:pt>
                <c:pt idx="23">
                  <c:v>24.46</c:v>
                </c:pt>
                <c:pt idx="24">
                  <c:v>24.89</c:v>
                </c:pt>
                <c:pt idx="25">
                  <c:v>29.27</c:v>
                </c:pt>
                <c:pt idx="26">
                  <c:v>25.87</c:v>
                </c:pt>
                <c:pt idx="27">
                  <c:v>26.85</c:v>
                </c:pt>
                <c:pt idx="28">
                  <c:v>31.08</c:v>
                </c:pt>
                <c:pt idx="29">
                  <c:v>31.26</c:v>
                </c:pt>
                <c:pt idx="30">
                  <c:v>28.41</c:v>
                </c:pt>
                <c:pt idx="31">
                  <c:v>25.95</c:v>
                </c:pt>
                <c:pt idx="32">
                  <c:v>22.11</c:v>
                </c:pt>
                <c:pt idx="33">
                  <c:v>20.92</c:v>
                </c:pt>
                <c:pt idx="34">
                  <c:v>21.95</c:v>
                </c:pt>
                <c:pt idx="35">
                  <c:v>23.69</c:v>
                </c:pt>
                <c:pt idx="36">
                  <c:v>21.27</c:v>
                </c:pt>
                <c:pt idx="37">
                  <c:v>19.100000000000001</c:v>
                </c:pt>
              </c:numCache>
            </c:numRef>
          </c:xVal>
          <c:yVal>
            <c:numRef>
              <c:f>[1]Arkusz4!$A$65:$A$102</c:f>
              <c:numCache>
                <c:formatCode>General</c:formatCode>
                <c:ptCount val="38"/>
                <c:pt idx="0">
                  <c:v>26.108963265626635</c:v>
                </c:pt>
                <c:pt idx="1">
                  <c:v>26.080598220791387</c:v>
                </c:pt>
                <c:pt idx="2">
                  <c:v>26.172207148160084</c:v>
                </c:pt>
                <c:pt idx="3">
                  <c:v>26.240662482996122</c:v>
                </c:pt>
                <c:pt idx="4">
                  <c:v>26.35459798461391</c:v>
                </c:pt>
                <c:pt idx="5">
                  <c:v>26.415613161485624</c:v>
                </c:pt>
                <c:pt idx="6">
                  <c:v>26.413768372199044</c:v>
                </c:pt>
                <c:pt idx="7">
                  <c:v>26.494641619686462</c:v>
                </c:pt>
                <c:pt idx="8">
                  <c:v>26.322077874962332</c:v>
                </c:pt>
                <c:pt idx="9">
                  <c:v>26.386949771936749</c:v>
                </c:pt>
                <c:pt idx="10">
                  <c:v>26.35553807058356</c:v>
                </c:pt>
                <c:pt idx="11">
                  <c:v>26.514068416036146</c:v>
                </c:pt>
                <c:pt idx="12">
                  <c:v>26.610152763845043</c:v>
                </c:pt>
                <c:pt idx="13">
                  <c:v>26.696813466277504</c:v>
                </c:pt>
                <c:pt idx="14">
                  <c:v>26.753633147301262</c:v>
                </c:pt>
                <c:pt idx="15">
                  <c:v>26.76673318575585</c:v>
                </c:pt>
                <c:pt idx="16">
                  <c:v>26.851924722819589</c:v>
                </c:pt>
                <c:pt idx="17">
                  <c:v>26.872577660034214</c:v>
                </c:pt>
                <c:pt idx="18">
                  <c:v>26.908323623040616</c:v>
                </c:pt>
                <c:pt idx="19">
                  <c:v>26.967312242720016</c:v>
                </c:pt>
                <c:pt idx="20">
                  <c:v>27.132946000233598</c:v>
                </c:pt>
                <c:pt idx="21">
                  <c:v>27.287330812353115</c:v>
                </c:pt>
                <c:pt idx="22">
                  <c:v>27.433035429339736</c:v>
                </c:pt>
                <c:pt idx="23">
                  <c:v>27.569422151436065</c:v>
                </c:pt>
                <c:pt idx="24">
                  <c:v>27.827192520537938</c:v>
                </c:pt>
                <c:pt idx="25">
                  <c:v>27.812421900723301</c:v>
                </c:pt>
                <c:pt idx="26">
                  <c:v>27.92509765224813</c:v>
                </c:pt>
                <c:pt idx="27">
                  <c:v>28.147201578281397</c:v>
                </c:pt>
                <c:pt idx="28">
                  <c:v>28.231531998946945</c:v>
                </c:pt>
                <c:pt idx="29">
                  <c:v>28.234045461640768</c:v>
                </c:pt>
                <c:pt idx="30">
                  <c:v>28.249833748650111</c:v>
                </c:pt>
                <c:pt idx="31">
                  <c:v>28.343543109882685</c:v>
                </c:pt>
                <c:pt idx="32">
                  <c:v>28.374665485629396</c:v>
                </c:pt>
                <c:pt idx="33">
                  <c:v>28.461665929644546</c:v>
                </c:pt>
                <c:pt idx="34">
                  <c:v>28.606136430331777</c:v>
                </c:pt>
                <c:pt idx="35">
                  <c:v>28.625357381760317</c:v>
                </c:pt>
                <c:pt idx="36">
                  <c:v>28.671846165741808</c:v>
                </c:pt>
                <c:pt idx="37">
                  <c:v>28.612233277545126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EF-4E1A-AA35-0C1F6303B025}"/>
            </c:ext>
          </c:extLst>
        </c:ser>
        <c:ser>
          <c:idx val="1"/>
          <c:order val="1"/>
          <c:tx>
            <c:v>Przewidywane Y</c:v>
          </c:tx>
          <c:spPr>
            <a:ln w="19050">
              <a:noFill/>
            </a:ln>
          </c:spPr>
          <c:xVal>
            <c:numRef>
              <c:f>[1]Arkusz4!$F$65:$F$102</c:f>
              <c:numCache>
                <c:formatCode>General</c:formatCode>
                <c:ptCount val="38"/>
                <c:pt idx="0">
                  <c:v>7.85</c:v>
                </c:pt>
                <c:pt idx="1">
                  <c:v>7.73</c:v>
                </c:pt>
                <c:pt idx="2">
                  <c:v>7.65</c:v>
                </c:pt>
                <c:pt idx="3">
                  <c:v>7.02</c:v>
                </c:pt>
                <c:pt idx="4">
                  <c:v>6.98</c:v>
                </c:pt>
                <c:pt idx="5">
                  <c:v>7.46</c:v>
                </c:pt>
                <c:pt idx="6">
                  <c:v>8.15</c:v>
                </c:pt>
                <c:pt idx="7">
                  <c:v>8.4499999999999993</c:v>
                </c:pt>
                <c:pt idx="8">
                  <c:v>8.49</c:v>
                </c:pt>
                <c:pt idx="9">
                  <c:v>9.59</c:v>
                </c:pt>
                <c:pt idx="10">
                  <c:v>9.82</c:v>
                </c:pt>
                <c:pt idx="11">
                  <c:v>10.19</c:v>
                </c:pt>
                <c:pt idx="12">
                  <c:v>12.02</c:v>
                </c:pt>
                <c:pt idx="13">
                  <c:v>11.54</c:v>
                </c:pt>
                <c:pt idx="14">
                  <c:v>11.93</c:v>
                </c:pt>
                <c:pt idx="15">
                  <c:v>12.68</c:v>
                </c:pt>
                <c:pt idx="16">
                  <c:v>13.36</c:v>
                </c:pt>
                <c:pt idx="17">
                  <c:v>13.9</c:v>
                </c:pt>
                <c:pt idx="18">
                  <c:v>13.43</c:v>
                </c:pt>
                <c:pt idx="19">
                  <c:v>15.24</c:v>
                </c:pt>
                <c:pt idx="20">
                  <c:v>15.64</c:v>
                </c:pt>
                <c:pt idx="21">
                  <c:v>19.64</c:v>
                </c:pt>
                <c:pt idx="22">
                  <c:v>22.4</c:v>
                </c:pt>
                <c:pt idx="23">
                  <c:v>24.46</c:v>
                </c:pt>
                <c:pt idx="24">
                  <c:v>24.89</c:v>
                </c:pt>
                <c:pt idx="25">
                  <c:v>29.27</c:v>
                </c:pt>
                <c:pt idx="26">
                  <c:v>25.87</c:v>
                </c:pt>
                <c:pt idx="27">
                  <c:v>26.85</c:v>
                </c:pt>
                <c:pt idx="28">
                  <c:v>31.08</c:v>
                </c:pt>
                <c:pt idx="29">
                  <c:v>31.26</c:v>
                </c:pt>
                <c:pt idx="30">
                  <c:v>28.41</c:v>
                </c:pt>
                <c:pt idx="31">
                  <c:v>25.95</c:v>
                </c:pt>
                <c:pt idx="32">
                  <c:v>22.11</c:v>
                </c:pt>
                <c:pt idx="33">
                  <c:v>20.92</c:v>
                </c:pt>
                <c:pt idx="34">
                  <c:v>21.95</c:v>
                </c:pt>
                <c:pt idx="35">
                  <c:v>23.69</c:v>
                </c:pt>
                <c:pt idx="36">
                  <c:v>21.27</c:v>
                </c:pt>
                <c:pt idx="37">
                  <c:v>19.100000000000001</c:v>
                </c:pt>
              </c:numCache>
            </c:numRef>
          </c:xVal>
          <c:yVal>
            <c:numRef>
              <c:f>[1]Arkusz4!$U$112:$U$149</c:f>
              <c:numCache>
                <c:formatCode>General</c:formatCode>
                <c:ptCount val="38"/>
                <c:pt idx="0">
                  <c:v>26.052151353144893</c:v>
                </c:pt>
                <c:pt idx="1">
                  <c:v>26.116452536500574</c:v>
                </c:pt>
                <c:pt idx="2">
                  <c:v>26.230676243037088</c:v>
                </c:pt>
                <c:pt idx="3">
                  <c:v>26.321082319216206</c:v>
                </c:pt>
                <c:pt idx="4">
                  <c:v>26.377859936020641</c:v>
                </c:pt>
                <c:pt idx="5">
                  <c:v>26.338382695750816</c:v>
                </c:pt>
                <c:pt idx="6">
                  <c:v>26.343021934604721</c:v>
                </c:pt>
                <c:pt idx="7">
                  <c:v>26.390751428666597</c:v>
                </c:pt>
                <c:pt idx="8">
                  <c:v>26.361974740138024</c:v>
                </c:pt>
                <c:pt idx="9">
                  <c:v>26.411000291890929</c:v>
                </c:pt>
                <c:pt idx="10">
                  <c:v>26.396646428336258</c:v>
                </c:pt>
                <c:pt idx="11">
                  <c:v>26.500226010951447</c:v>
                </c:pt>
                <c:pt idx="12">
                  <c:v>26.603184768835614</c:v>
                </c:pt>
                <c:pt idx="13">
                  <c:v>26.673552579656459</c:v>
                </c:pt>
                <c:pt idx="14">
                  <c:v>26.719975629014563</c:v>
                </c:pt>
                <c:pt idx="15">
                  <c:v>26.838388540192202</c:v>
                </c:pt>
                <c:pt idx="16">
                  <c:v>26.779516432918228</c:v>
                </c:pt>
                <c:pt idx="17">
                  <c:v>26.855355530887902</c:v>
                </c:pt>
                <c:pt idx="18">
                  <c:v>26.980125627746968</c:v>
                </c:pt>
                <c:pt idx="19">
                  <c:v>27.051992137451894</c:v>
                </c:pt>
                <c:pt idx="20">
                  <c:v>27.118806227177256</c:v>
                </c:pt>
                <c:pt idx="21">
                  <c:v>27.263000281973127</c:v>
                </c:pt>
                <c:pt idx="22">
                  <c:v>27.439712500839157</c:v>
                </c:pt>
                <c:pt idx="23">
                  <c:v>27.56519320532044</c:v>
                </c:pt>
                <c:pt idx="24">
                  <c:v>27.829280297471669</c:v>
                </c:pt>
                <c:pt idx="25">
                  <c:v>27.869624185277125</c:v>
                </c:pt>
                <c:pt idx="26">
                  <c:v>27.962113222763776</c:v>
                </c:pt>
                <c:pt idx="27">
                  <c:v>28.063838800384449</c:v>
                </c:pt>
                <c:pt idx="28">
                  <c:v>28.20403017245285</c:v>
                </c:pt>
                <c:pt idx="29">
                  <c:v>28.292138505894876</c:v>
                </c:pt>
                <c:pt idx="30">
                  <c:v>28.237902485659035</c:v>
                </c:pt>
                <c:pt idx="31">
                  <c:v>28.281149600174317</c:v>
                </c:pt>
                <c:pt idx="32">
                  <c:v>28.388829969641428</c:v>
                </c:pt>
                <c:pt idx="33">
                  <c:v>28.444673785069391</c:v>
                </c:pt>
                <c:pt idx="34">
                  <c:v>28.578841027504652</c:v>
                </c:pt>
                <c:pt idx="35">
                  <c:v>28.639118324468928</c:v>
                </c:pt>
                <c:pt idx="36">
                  <c:v>28.660219888680015</c:v>
                </c:pt>
                <c:pt idx="37">
                  <c:v>28.651874590084741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EF-4E1A-AA35-0C1F6303B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685727"/>
        <c:axId val="587686207"/>
      </c:scatterChart>
      <c:valAx>
        <c:axId val="587685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Zmienna X 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7686207"/>
        <c:crosses val="autoZero"/>
        <c:crossBetween val="midCat"/>
      </c:valAx>
      <c:valAx>
        <c:axId val="5876862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768572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Zmienna X 6 Rozkład linii dopasowanej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[1]Arkusz4!$G$65:$G$102</c:f>
              <c:numCache>
                <c:formatCode>General</c:formatCode>
                <c:ptCount val="38"/>
                <c:pt idx="0">
                  <c:v>5.84</c:v>
                </c:pt>
                <c:pt idx="1">
                  <c:v>6.28</c:v>
                </c:pt>
                <c:pt idx="2">
                  <c:v>5.25</c:v>
                </c:pt>
                <c:pt idx="3">
                  <c:v>5.2</c:v>
                </c:pt>
                <c:pt idx="4">
                  <c:v>5.6</c:v>
                </c:pt>
                <c:pt idx="5">
                  <c:v>6.04</c:v>
                </c:pt>
                <c:pt idx="6">
                  <c:v>7.02</c:v>
                </c:pt>
                <c:pt idx="7">
                  <c:v>7.05</c:v>
                </c:pt>
                <c:pt idx="8">
                  <c:v>8.49</c:v>
                </c:pt>
                <c:pt idx="9">
                  <c:v>8.84</c:v>
                </c:pt>
                <c:pt idx="10">
                  <c:v>9.83</c:v>
                </c:pt>
                <c:pt idx="11">
                  <c:v>9.89</c:v>
                </c:pt>
                <c:pt idx="12">
                  <c:v>10.84</c:v>
                </c:pt>
                <c:pt idx="13">
                  <c:v>10.39</c:v>
                </c:pt>
                <c:pt idx="14">
                  <c:v>10.69</c:v>
                </c:pt>
                <c:pt idx="15">
                  <c:v>11.02</c:v>
                </c:pt>
                <c:pt idx="16">
                  <c:v>11.45</c:v>
                </c:pt>
                <c:pt idx="17">
                  <c:v>13</c:v>
                </c:pt>
                <c:pt idx="18">
                  <c:v>12.56</c:v>
                </c:pt>
                <c:pt idx="19">
                  <c:v>14.26</c:v>
                </c:pt>
                <c:pt idx="20">
                  <c:v>14.95</c:v>
                </c:pt>
                <c:pt idx="21">
                  <c:v>17.86</c:v>
                </c:pt>
                <c:pt idx="22">
                  <c:v>19.61</c:v>
                </c:pt>
                <c:pt idx="23">
                  <c:v>21.27</c:v>
                </c:pt>
                <c:pt idx="24">
                  <c:v>20.8</c:v>
                </c:pt>
                <c:pt idx="25">
                  <c:v>24.1</c:v>
                </c:pt>
                <c:pt idx="26">
                  <c:v>20.399999999999999</c:v>
                </c:pt>
                <c:pt idx="27">
                  <c:v>22.4</c:v>
                </c:pt>
                <c:pt idx="28">
                  <c:v>24.54</c:v>
                </c:pt>
                <c:pt idx="29">
                  <c:v>24.53</c:v>
                </c:pt>
                <c:pt idx="30">
                  <c:v>25.43</c:v>
                </c:pt>
                <c:pt idx="31">
                  <c:v>22.97</c:v>
                </c:pt>
                <c:pt idx="32">
                  <c:v>19.809999999999999</c:v>
                </c:pt>
                <c:pt idx="33">
                  <c:v>19.16</c:v>
                </c:pt>
                <c:pt idx="34">
                  <c:v>18.79</c:v>
                </c:pt>
                <c:pt idx="35">
                  <c:v>19.93</c:v>
                </c:pt>
                <c:pt idx="36">
                  <c:v>18.690000000000001</c:v>
                </c:pt>
                <c:pt idx="37">
                  <c:v>18.71</c:v>
                </c:pt>
              </c:numCache>
            </c:numRef>
          </c:xVal>
          <c:yVal>
            <c:numRef>
              <c:f>[1]Arkusz4!$A$65:$A$102</c:f>
              <c:numCache>
                <c:formatCode>General</c:formatCode>
                <c:ptCount val="38"/>
                <c:pt idx="0">
                  <c:v>26.108963265626635</c:v>
                </c:pt>
                <c:pt idx="1">
                  <c:v>26.080598220791387</c:v>
                </c:pt>
                <c:pt idx="2">
                  <c:v>26.172207148160084</c:v>
                </c:pt>
                <c:pt idx="3">
                  <c:v>26.240662482996122</c:v>
                </c:pt>
                <c:pt idx="4">
                  <c:v>26.35459798461391</c:v>
                </c:pt>
                <c:pt idx="5">
                  <c:v>26.415613161485624</c:v>
                </c:pt>
                <c:pt idx="6">
                  <c:v>26.413768372199044</c:v>
                </c:pt>
                <c:pt idx="7">
                  <c:v>26.494641619686462</c:v>
                </c:pt>
                <c:pt idx="8">
                  <c:v>26.322077874962332</c:v>
                </c:pt>
                <c:pt idx="9">
                  <c:v>26.386949771936749</c:v>
                </c:pt>
                <c:pt idx="10">
                  <c:v>26.35553807058356</c:v>
                </c:pt>
                <c:pt idx="11">
                  <c:v>26.514068416036146</c:v>
                </c:pt>
                <c:pt idx="12">
                  <c:v>26.610152763845043</c:v>
                </c:pt>
                <c:pt idx="13">
                  <c:v>26.696813466277504</c:v>
                </c:pt>
                <c:pt idx="14">
                  <c:v>26.753633147301262</c:v>
                </c:pt>
                <c:pt idx="15">
                  <c:v>26.76673318575585</c:v>
                </c:pt>
                <c:pt idx="16">
                  <c:v>26.851924722819589</c:v>
                </c:pt>
                <c:pt idx="17">
                  <c:v>26.872577660034214</c:v>
                </c:pt>
                <c:pt idx="18">
                  <c:v>26.908323623040616</c:v>
                </c:pt>
                <c:pt idx="19">
                  <c:v>26.967312242720016</c:v>
                </c:pt>
                <c:pt idx="20">
                  <c:v>27.132946000233598</c:v>
                </c:pt>
                <c:pt idx="21">
                  <c:v>27.287330812353115</c:v>
                </c:pt>
                <c:pt idx="22">
                  <c:v>27.433035429339736</c:v>
                </c:pt>
                <c:pt idx="23">
                  <c:v>27.569422151436065</c:v>
                </c:pt>
                <c:pt idx="24">
                  <c:v>27.827192520537938</c:v>
                </c:pt>
                <c:pt idx="25">
                  <c:v>27.812421900723301</c:v>
                </c:pt>
                <c:pt idx="26">
                  <c:v>27.92509765224813</c:v>
                </c:pt>
                <c:pt idx="27">
                  <c:v>28.147201578281397</c:v>
                </c:pt>
                <c:pt idx="28">
                  <c:v>28.231531998946945</c:v>
                </c:pt>
                <c:pt idx="29">
                  <c:v>28.234045461640768</c:v>
                </c:pt>
                <c:pt idx="30">
                  <c:v>28.249833748650111</c:v>
                </c:pt>
                <c:pt idx="31">
                  <c:v>28.343543109882685</c:v>
                </c:pt>
                <c:pt idx="32">
                  <c:v>28.374665485629396</c:v>
                </c:pt>
                <c:pt idx="33">
                  <c:v>28.461665929644546</c:v>
                </c:pt>
                <c:pt idx="34">
                  <c:v>28.606136430331777</c:v>
                </c:pt>
                <c:pt idx="35">
                  <c:v>28.625357381760317</c:v>
                </c:pt>
                <c:pt idx="36">
                  <c:v>28.671846165741808</c:v>
                </c:pt>
                <c:pt idx="37">
                  <c:v>28.612233277545126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A0-49C1-9E19-3430440F16F6}"/>
            </c:ext>
          </c:extLst>
        </c:ser>
        <c:ser>
          <c:idx val="1"/>
          <c:order val="1"/>
          <c:tx>
            <c:v>Przewidywane Y</c:v>
          </c:tx>
          <c:spPr>
            <a:ln w="19050">
              <a:noFill/>
            </a:ln>
          </c:spPr>
          <c:xVal>
            <c:numRef>
              <c:f>[1]Arkusz4!$G$65:$G$102</c:f>
              <c:numCache>
                <c:formatCode>General</c:formatCode>
                <c:ptCount val="38"/>
                <c:pt idx="0">
                  <c:v>5.84</c:v>
                </c:pt>
                <c:pt idx="1">
                  <c:v>6.28</c:v>
                </c:pt>
                <c:pt idx="2">
                  <c:v>5.25</c:v>
                </c:pt>
                <c:pt idx="3">
                  <c:v>5.2</c:v>
                </c:pt>
                <c:pt idx="4">
                  <c:v>5.6</c:v>
                </c:pt>
                <c:pt idx="5">
                  <c:v>6.04</c:v>
                </c:pt>
                <c:pt idx="6">
                  <c:v>7.02</c:v>
                </c:pt>
                <c:pt idx="7">
                  <c:v>7.05</c:v>
                </c:pt>
                <c:pt idx="8">
                  <c:v>8.49</c:v>
                </c:pt>
                <c:pt idx="9">
                  <c:v>8.84</c:v>
                </c:pt>
                <c:pt idx="10">
                  <c:v>9.83</c:v>
                </c:pt>
                <c:pt idx="11">
                  <c:v>9.89</c:v>
                </c:pt>
                <c:pt idx="12">
                  <c:v>10.84</c:v>
                </c:pt>
                <c:pt idx="13">
                  <c:v>10.39</c:v>
                </c:pt>
                <c:pt idx="14">
                  <c:v>10.69</c:v>
                </c:pt>
                <c:pt idx="15">
                  <c:v>11.02</c:v>
                </c:pt>
                <c:pt idx="16">
                  <c:v>11.45</c:v>
                </c:pt>
                <c:pt idx="17">
                  <c:v>13</c:v>
                </c:pt>
                <c:pt idx="18">
                  <c:v>12.56</c:v>
                </c:pt>
                <c:pt idx="19">
                  <c:v>14.26</c:v>
                </c:pt>
                <c:pt idx="20">
                  <c:v>14.95</c:v>
                </c:pt>
                <c:pt idx="21">
                  <c:v>17.86</c:v>
                </c:pt>
                <c:pt idx="22">
                  <c:v>19.61</c:v>
                </c:pt>
                <c:pt idx="23">
                  <c:v>21.27</c:v>
                </c:pt>
                <c:pt idx="24">
                  <c:v>20.8</c:v>
                </c:pt>
                <c:pt idx="25">
                  <c:v>24.1</c:v>
                </c:pt>
                <c:pt idx="26">
                  <c:v>20.399999999999999</c:v>
                </c:pt>
                <c:pt idx="27">
                  <c:v>22.4</c:v>
                </c:pt>
                <c:pt idx="28">
                  <c:v>24.54</c:v>
                </c:pt>
                <c:pt idx="29">
                  <c:v>24.53</c:v>
                </c:pt>
                <c:pt idx="30">
                  <c:v>25.43</c:v>
                </c:pt>
                <c:pt idx="31">
                  <c:v>22.97</c:v>
                </c:pt>
                <c:pt idx="32">
                  <c:v>19.809999999999999</c:v>
                </c:pt>
                <c:pt idx="33">
                  <c:v>19.16</c:v>
                </c:pt>
                <c:pt idx="34">
                  <c:v>18.79</c:v>
                </c:pt>
                <c:pt idx="35">
                  <c:v>19.93</c:v>
                </c:pt>
                <c:pt idx="36">
                  <c:v>18.690000000000001</c:v>
                </c:pt>
                <c:pt idx="37">
                  <c:v>18.71</c:v>
                </c:pt>
              </c:numCache>
            </c:numRef>
          </c:xVal>
          <c:yVal>
            <c:numRef>
              <c:f>[1]Arkusz4!$U$112:$U$149</c:f>
              <c:numCache>
                <c:formatCode>General</c:formatCode>
                <c:ptCount val="38"/>
                <c:pt idx="0">
                  <c:v>26.052151353144893</c:v>
                </c:pt>
                <c:pt idx="1">
                  <c:v>26.116452536500574</c:v>
                </c:pt>
                <c:pt idx="2">
                  <c:v>26.230676243037088</c:v>
                </c:pt>
                <c:pt idx="3">
                  <c:v>26.321082319216206</c:v>
                </c:pt>
                <c:pt idx="4">
                  <c:v>26.377859936020641</c:v>
                </c:pt>
                <c:pt idx="5">
                  <c:v>26.338382695750816</c:v>
                </c:pt>
                <c:pt idx="6">
                  <c:v>26.343021934604721</c:v>
                </c:pt>
                <c:pt idx="7">
                  <c:v>26.390751428666597</c:v>
                </c:pt>
                <c:pt idx="8">
                  <c:v>26.361974740138024</c:v>
                </c:pt>
                <c:pt idx="9">
                  <c:v>26.411000291890929</c:v>
                </c:pt>
                <c:pt idx="10">
                  <c:v>26.396646428336258</c:v>
                </c:pt>
                <c:pt idx="11">
                  <c:v>26.500226010951447</c:v>
                </c:pt>
                <c:pt idx="12">
                  <c:v>26.603184768835614</c:v>
                </c:pt>
                <c:pt idx="13">
                  <c:v>26.673552579656459</c:v>
                </c:pt>
                <c:pt idx="14">
                  <c:v>26.719975629014563</c:v>
                </c:pt>
                <c:pt idx="15">
                  <c:v>26.838388540192202</c:v>
                </c:pt>
                <c:pt idx="16">
                  <c:v>26.779516432918228</c:v>
                </c:pt>
                <c:pt idx="17">
                  <c:v>26.855355530887902</c:v>
                </c:pt>
                <c:pt idx="18">
                  <c:v>26.980125627746968</c:v>
                </c:pt>
                <c:pt idx="19">
                  <c:v>27.051992137451894</c:v>
                </c:pt>
                <c:pt idx="20">
                  <c:v>27.118806227177256</c:v>
                </c:pt>
                <c:pt idx="21">
                  <c:v>27.263000281973127</c:v>
                </c:pt>
                <c:pt idx="22">
                  <c:v>27.439712500839157</c:v>
                </c:pt>
                <c:pt idx="23">
                  <c:v>27.56519320532044</c:v>
                </c:pt>
                <c:pt idx="24">
                  <c:v>27.829280297471669</c:v>
                </c:pt>
                <c:pt idx="25">
                  <c:v>27.869624185277125</c:v>
                </c:pt>
                <c:pt idx="26">
                  <c:v>27.962113222763776</c:v>
                </c:pt>
                <c:pt idx="27">
                  <c:v>28.063838800384449</c:v>
                </c:pt>
                <c:pt idx="28">
                  <c:v>28.20403017245285</c:v>
                </c:pt>
                <c:pt idx="29">
                  <c:v>28.292138505894876</c:v>
                </c:pt>
                <c:pt idx="30">
                  <c:v>28.237902485659035</c:v>
                </c:pt>
                <c:pt idx="31">
                  <c:v>28.281149600174317</c:v>
                </c:pt>
                <c:pt idx="32">
                  <c:v>28.388829969641428</c:v>
                </c:pt>
                <c:pt idx="33">
                  <c:v>28.444673785069391</c:v>
                </c:pt>
                <c:pt idx="34">
                  <c:v>28.578841027504652</c:v>
                </c:pt>
                <c:pt idx="35">
                  <c:v>28.639118324468928</c:v>
                </c:pt>
                <c:pt idx="36">
                  <c:v>28.660219888680015</c:v>
                </c:pt>
                <c:pt idx="37">
                  <c:v>28.651874590084741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A0-49C1-9E19-3430440F1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561887"/>
        <c:axId val="586728591"/>
      </c:scatterChart>
      <c:valAx>
        <c:axId val="583561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Zmienna X 6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6728591"/>
        <c:crosses val="autoZero"/>
        <c:crossBetween val="midCat"/>
      </c:valAx>
      <c:valAx>
        <c:axId val="5867285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356188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Zmienna X 7 Rozkład linii dopasowanej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[1]Arkusz4!$H$65:$H$102</c:f>
              <c:numCache>
                <c:formatCode>General</c:formatCode>
                <c:ptCount val="38"/>
                <c:pt idx="0">
                  <c:v>8215732398.9700003</c:v>
                </c:pt>
                <c:pt idx="1">
                  <c:v>8535944481.1999998</c:v>
                </c:pt>
                <c:pt idx="2">
                  <c:v>9493102974.0200005</c:v>
                </c:pt>
                <c:pt idx="3">
                  <c:v>10480102587.559999</c:v>
                </c:pt>
                <c:pt idx="4">
                  <c:v>11511740598.809999</c:v>
                </c:pt>
                <c:pt idx="5">
                  <c:v>9185839446.5400009</c:v>
                </c:pt>
                <c:pt idx="6">
                  <c:v>8048455918.1599998</c:v>
                </c:pt>
                <c:pt idx="7">
                  <c:v>5637446363.8299999</c:v>
                </c:pt>
                <c:pt idx="8">
                  <c:v>7615987475.1099997</c:v>
                </c:pt>
                <c:pt idx="9">
                  <c:v>9538786025.1700001</c:v>
                </c:pt>
                <c:pt idx="10">
                  <c:v>14674627089.940001</c:v>
                </c:pt>
                <c:pt idx="11">
                  <c:v>24220928468.82</c:v>
                </c:pt>
                <c:pt idx="12">
                  <c:v>22864636916.099998</c:v>
                </c:pt>
                <c:pt idx="13">
                  <c:v>24889364657.41</c:v>
                </c:pt>
                <c:pt idx="14">
                  <c:v>28385372945.860001</c:v>
                </c:pt>
                <c:pt idx="15">
                  <c:v>30646563663.48</c:v>
                </c:pt>
                <c:pt idx="16">
                  <c:v>36005295926.440002</c:v>
                </c:pt>
                <c:pt idx="17">
                  <c:v>41059061574.660004</c:v>
                </c:pt>
                <c:pt idx="18">
                  <c:v>49050841138.720001</c:v>
                </c:pt>
                <c:pt idx="19">
                  <c:v>71607865093.699997</c:v>
                </c:pt>
                <c:pt idx="20">
                  <c:v>103737208055.97</c:v>
                </c:pt>
                <c:pt idx="21">
                  <c:v>131631143125.85001</c:v>
                </c:pt>
                <c:pt idx="22">
                  <c:v>137824828256.29001</c:v>
                </c:pt>
                <c:pt idx="23">
                  <c:v>178049790065.97</c:v>
                </c:pt>
                <c:pt idx="24">
                  <c:v>276578100117.40997</c:v>
                </c:pt>
                <c:pt idx="25">
                  <c:v>257422725614.88</c:v>
                </c:pt>
                <c:pt idx="26">
                  <c:v>284682887897.59003</c:v>
                </c:pt>
                <c:pt idx="27">
                  <c:v>300480168786.34998</c:v>
                </c:pt>
                <c:pt idx="28">
                  <c:v>298739463090.87</c:v>
                </c:pt>
                <c:pt idx="29">
                  <c:v>300425517446.54999</c:v>
                </c:pt>
                <c:pt idx="30">
                  <c:v>298092478740.58002</c:v>
                </c:pt>
                <c:pt idx="31">
                  <c:v>325081035127.89001</c:v>
                </c:pt>
                <c:pt idx="32">
                  <c:v>353319061013.21997</c:v>
                </c:pt>
                <c:pt idx="33">
                  <c:v>361694321972.03998</c:v>
                </c:pt>
                <c:pt idx="34">
                  <c:v>412613792019.91998</c:v>
                </c:pt>
                <c:pt idx="35">
                  <c:v>399167159226.67999</c:v>
                </c:pt>
                <c:pt idx="36">
                  <c:v>463469902152.51001</c:v>
                </c:pt>
                <c:pt idx="37">
                  <c:v>590227359928.90002</c:v>
                </c:pt>
              </c:numCache>
            </c:numRef>
          </c:xVal>
          <c:yVal>
            <c:numRef>
              <c:f>[1]Arkusz4!$A$65:$A$102</c:f>
              <c:numCache>
                <c:formatCode>General</c:formatCode>
                <c:ptCount val="38"/>
                <c:pt idx="0">
                  <c:v>26.108963265626635</c:v>
                </c:pt>
                <c:pt idx="1">
                  <c:v>26.080598220791387</c:v>
                </c:pt>
                <c:pt idx="2">
                  <c:v>26.172207148160084</c:v>
                </c:pt>
                <c:pt idx="3">
                  <c:v>26.240662482996122</c:v>
                </c:pt>
                <c:pt idx="4">
                  <c:v>26.35459798461391</c:v>
                </c:pt>
                <c:pt idx="5">
                  <c:v>26.415613161485624</c:v>
                </c:pt>
                <c:pt idx="6">
                  <c:v>26.413768372199044</c:v>
                </c:pt>
                <c:pt idx="7">
                  <c:v>26.494641619686462</c:v>
                </c:pt>
                <c:pt idx="8">
                  <c:v>26.322077874962332</c:v>
                </c:pt>
                <c:pt idx="9">
                  <c:v>26.386949771936749</c:v>
                </c:pt>
                <c:pt idx="10">
                  <c:v>26.35553807058356</c:v>
                </c:pt>
                <c:pt idx="11">
                  <c:v>26.514068416036146</c:v>
                </c:pt>
                <c:pt idx="12">
                  <c:v>26.610152763845043</c:v>
                </c:pt>
                <c:pt idx="13">
                  <c:v>26.696813466277504</c:v>
                </c:pt>
                <c:pt idx="14">
                  <c:v>26.753633147301262</c:v>
                </c:pt>
                <c:pt idx="15">
                  <c:v>26.76673318575585</c:v>
                </c:pt>
                <c:pt idx="16">
                  <c:v>26.851924722819589</c:v>
                </c:pt>
                <c:pt idx="17">
                  <c:v>26.872577660034214</c:v>
                </c:pt>
                <c:pt idx="18">
                  <c:v>26.908323623040616</c:v>
                </c:pt>
                <c:pt idx="19">
                  <c:v>26.967312242720016</c:v>
                </c:pt>
                <c:pt idx="20">
                  <c:v>27.132946000233598</c:v>
                </c:pt>
                <c:pt idx="21">
                  <c:v>27.287330812353115</c:v>
                </c:pt>
                <c:pt idx="22">
                  <c:v>27.433035429339736</c:v>
                </c:pt>
                <c:pt idx="23">
                  <c:v>27.569422151436065</c:v>
                </c:pt>
                <c:pt idx="24">
                  <c:v>27.827192520537938</c:v>
                </c:pt>
                <c:pt idx="25">
                  <c:v>27.812421900723301</c:v>
                </c:pt>
                <c:pt idx="26">
                  <c:v>27.92509765224813</c:v>
                </c:pt>
                <c:pt idx="27">
                  <c:v>28.147201578281397</c:v>
                </c:pt>
                <c:pt idx="28">
                  <c:v>28.231531998946945</c:v>
                </c:pt>
                <c:pt idx="29">
                  <c:v>28.234045461640768</c:v>
                </c:pt>
                <c:pt idx="30">
                  <c:v>28.249833748650111</c:v>
                </c:pt>
                <c:pt idx="31">
                  <c:v>28.343543109882685</c:v>
                </c:pt>
                <c:pt idx="32">
                  <c:v>28.374665485629396</c:v>
                </c:pt>
                <c:pt idx="33">
                  <c:v>28.461665929644546</c:v>
                </c:pt>
                <c:pt idx="34">
                  <c:v>28.606136430331777</c:v>
                </c:pt>
                <c:pt idx="35">
                  <c:v>28.625357381760317</c:v>
                </c:pt>
                <c:pt idx="36">
                  <c:v>28.671846165741808</c:v>
                </c:pt>
                <c:pt idx="37">
                  <c:v>28.612233277545126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26-449B-BE9A-C8351AAA78CB}"/>
            </c:ext>
          </c:extLst>
        </c:ser>
        <c:ser>
          <c:idx val="1"/>
          <c:order val="1"/>
          <c:tx>
            <c:v>Przewidywane Y</c:v>
          </c:tx>
          <c:spPr>
            <a:ln w="19050">
              <a:noFill/>
            </a:ln>
          </c:spPr>
          <c:xVal>
            <c:numRef>
              <c:f>[1]Arkusz4!$H$65:$H$102</c:f>
              <c:numCache>
                <c:formatCode>General</c:formatCode>
                <c:ptCount val="38"/>
                <c:pt idx="0">
                  <c:v>8215732398.9700003</c:v>
                </c:pt>
                <c:pt idx="1">
                  <c:v>8535944481.1999998</c:v>
                </c:pt>
                <c:pt idx="2">
                  <c:v>9493102974.0200005</c:v>
                </c:pt>
                <c:pt idx="3">
                  <c:v>10480102587.559999</c:v>
                </c:pt>
                <c:pt idx="4">
                  <c:v>11511740598.809999</c:v>
                </c:pt>
                <c:pt idx="5">
                  <c:v>9185839446.5400009</c:v>
                </c:pt>
                <c:pt idx="6">
                  <c:v>8048455918.1599998</c:v>
                </c:pt>
                <c:pt idx="7">
                  <c:v>5637446363.8299999</c:v>
                </c:pt>
                <c:pt idx="8">
                  <c:v>7615987475.1099997</c:v>
                </c:pt>
                <c:pt idx="9">
                  <c:v>9538786025.1700001</c:v>
                </c:pt>
                <c:pt idx="10">
                  <c:v>14674627089.940001</c:v>
                </c:pt>
                <c:pt idx="11">
                  <c:v>24220928468.82</c:v>
                </c:pt>
                <c:pt idx="12">
                  <c:v>22864636916.099998</c:v>
                </c:pt>
                <c:pt idx="13">
                  <c:v>24889364657.41</c:v>
                </c:pt>
                <c:pt idx="14">
                  <c:v>28385372945.860001</c:v>
                </c:pt>
                <c:pt idx="15">
                  <c:v>30646563663.48</c:v>
                </c:pt>
                <c:pt idx="16">
                  <c:v>36005295926.440002</c:v>
                </c:pt>
                <c:pt idx="17">
                  <c:v>41059061574.660004</c:v>
                </c:pt>
                <c:pt idx="18">
                  <c:v>49050841138.720001</c:v>
                </c:pt>
                <c:pt idx="19">
                  <c:v>71607865093.699997</c:v>
                </c:pt>
                <c:pt idx="20">
                  <c:v>103737208055.97</c:v>
                </c:pt>
                <c:pt idx="21">
                  <c:v>131631143125.85001</c:v>
                </c:pt>
                <c:pt idx="22">
                  <c:v>137824828256.29001</c:v>
                </c:pt>
                <c:pt idx="23">
                  <c:v>178049790065.97</c:v>
                </c:pt>
                <c:pt idx="24">
                  <c:v>276578100117.40997</c:v>
                </c:pt>
                <c:pt idx="25">
                  <c:v>257422725614.88</c:v>
                </c:pt>
                <c:pt idx="26">
                  <c:v>284682887897.59003</c:v>
                </c:pt>
                <c:pt idx="27">
                  <c:v>300480168786.34998</c:v>
                </c:pt>
                <c:pt idx="28">
                  <c:v>298739463090.87</c:v>
                </c:pt>
                <c:pt idx="29">
                  <c:v>300425517446.54999</c:v>
                </c:pt>
                <c:pt idx="30">
                  <c:v>298092478740.58002</c:v>
                </c:pt>
                <c:pt idx="31">
                  <c:v>325081035127.89001</c:v>
                </c:pt>
                <c:pt idx="32">
                  <c:v>353319061013.21997</c:v>
                </c:pt>
                <c:pt idx="33">
                  <c:v>361694321972.03998</c:v>
                </c:pt>
                <c:pt idx="34">
                  <c:v>412613792019.91998</c:v>
                </c:pt>
                <c:pt idx="35">
                  <c:v>399167159226.67999</c:v>
                </c:pt>
                <c:pt idx="36">
                  <c:v>463469902152.51001</c:v>
                </c:pt>
                <c:pt idx="37">
                  <c:v>590227359928.90002</c:v>
                </c:pt>
              </c:numCache>
            </c:numRef>
          </c:xVal>
          <c:yVal>
            <c:numRef>
              <c:f>[1]Arkusz4!$U$112:$U$149</c:f>
              <c:numCache>
                <c:formatCode>General</c:formatCode>
                <c:ptCount val="38"/>
                <c:pt idx="0">
                  <c:v>26.052151353144893</c:v>
                </c:pt>
                <c:pt idx="1">
                  <c:v>26.116452536500574</c:v>
                </c:pt>
                <c:pt idx="2">
                  <c:v>26.230676243037088</c:v>
                </c:pt>
                <c:pt idx="3">
                  <c:v>26.321082319216206</c:v>
                </c:pt>
                <c:pt idx="4">
                  <c:v>26.377859936020641</c:v>
                </c:pt>
                <c:pt idx="5">
                  <c:v>26.338382695750816</c:v>
                </c:pt>
                <c:pt idx="6">
                  <c:v>26.343021934604721</c:v>
                </c:pt>
                <c:pt idx="7">
                  <c:v>26.390751428666597</c:v>
                </c:pt>
                <c:pt idx="8">
                  <c:v>26.361974740138024</c:v>
                </c:pt>
                <c:pt idx="9">
                  <c:v>26.411000291890929</c:v>
                </c:pt>
                <c:pt idx="10">
                  <c:v>26.396646428336258</c:v>
                </c:pt>
                <c:pt idx="11">
                  <c:v>26.500226010951447</c:v>
                </c:pt>
                <c:pt idx="12">
                  <c:v>26.603184768835614</c:v>
                </c:pt>
                <c:pt idx="13">
                  <c:v>26.673552579656459</c:v>
                </c:pt>
                <c:pt idx="14">
                  <c:v>26.719975629014563</c:v>
                </c:pt>
                <c:pt idx="15">
                  <c:v>26.838388540192202</c:v>
                </c:pt>
                <c:pt idx="16">
                  <c:v>26.779516432918228</c:v>
                </c:pt>
                <c:pt idx="17">
                  <c:v>26.855355530887902</c:v>
                </c:pt>
                <c:pt idx="18">
                  <c:v>26.980125627746968</c:v>
                </c:pt>
                <c:pt idx="19">
                  <c:v>27.051992137451894</c:v>
                </c:pt>
                <c:pt idx="20">
                  <c:v>27.118806227177256</c:v>
                </c:pt>
                <c:pt idx="21">
                  <c:v>27.263000281973127</c:v>
                </c:pt>
                <c:pt idx="22">
                  <c:v>27.439712500839157</c:v>
                </c:pt>
                <c:pt idx="23">
                  <c:v>27.56519320532044</c:v>
                </c:pt>
                <c:pt idx="24">
                  <c:v>27.829280297471669</c:v>
                </c:pt>
                <c:pt idx="25">
                  <c:v>27.869624185277125</c:v>
                </c:pt>
                <c:pt idx="26">
                  <c:v>27.962113222763776</c:v>
                </c:pt>
                <c:pt idx="27">
                  <c:v>28.063838800384449</c:v>
                </c:pt>
                <c:pt idx="28">
                  <c:v>28.20403017245285</c:v>
                </c:pt>
                <c:pt idx="29">
                  <c:v>28.292138505894876</c:v>
                </c:pt>
                <c:pt idx="30">
                  <c:v>28.237902485659035</c:v>
                </c:pt>
                <c:pt idx="31">
                  <c:v>28.281149600174317</c:v>
                </c:pt>
                <c:pt idx="32">
                  <c:v>28.388829969641428</c:v>
                </c:pt>
                <c:pt idx="33">
                  <c:v>28.444673785069391</c:v>
                </c:pt>
                <c:pt idx="34">
                  <c:v>28.578841027504652</c:v>
                </c:pt>
                <c:pt idx="35">
                  <c:v>28.639118324468928</c:v>
                </c:pt>
                <c:pt idx="36">
                  <c:v>28.660219888680015</c:v>
                </c:pt>
                <c:pt idx="37">
                  <c:v>28.651874590084741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26-449B-BE9A-C8351AAA7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733391"/>
        <c:axId val="586731471"/>
      </c:scatterChart>
      <c:valAx>
        <c:axId val="586733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Zmienna X 7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6731471"/>
        <c:crosses val="autoZero"/>
        <c:crossBetween val="midCat"/>
      </c:valAx>
      <c:valAx>
        <c:axId val="5867314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673339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Zmienna X 8 Rozkład linii dopasowanej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[1]Arkusz4!$I$65:$I$102</c:f>
              <c:numCache>
                <c:formatCode>General</c:formatCode>
                <c:ptCount val="38"/>
                <c:pt idx="0">
                  <c:v>11.87</c:v>
                </c:pt>
                <c:pt idx="1">
                  <c:v>8.32</c:v>
                </c:pt>
                <c:pt idx="2">
                  <c:v>5.56</c:v>
                </c:pt>
                <c:pt idx="3">
                  <c:v>8.73</c:v>
                </c:pt>
                <c:pt idx="4">
                  <c:v>8.8000000000000007</c:v>
                </c:pt>
                <c:pt idx="5">
                  <c:v>9.3800000000000008</c:v>
                </c:pt>
                <c:pt idx="6">
                  <c:v>7.07</c:v>
                </c:pt>
                <c:pt idx="7">
                  <c:v>8.9700000000000006</c:v>
                </c:pt>
                <c:pt idx="8">
                  <c:v>13.87</c:v>
                </c:pt>
                <c:pt idx="9">
                  <c:v>11.79</c:v>
                </c:pt>
                <c:pt idx="10">
                  <c:v>6.33</c:v>
                </c:pt>
                <c:pt idx="11">
                  <c:v>10.25</c:v>
                </c:pt>
                <c:pt idx="12">
                  <c:v>10.220000000000001</c:v>
                </c:pt>
                <c:pt idx="13">
                  <c:v>8.98</c:v>
                </c:pt>
                <c:pt idx="14">
                  <c:v>7.16</c:v>
                </c:pt>
                <c:pt idx="15">
                  <c:v>13.23</c:v>
                </c:pt>
                <c:pt idx="16">
                  <c:v>4.67</c:v>
                </c:pt>
                <c:pt idx="17">
                  <c:v>4.01</c:v>
                </c:pt>
                <c:pt idx="18">
                  <c:v>3.78</c:v>
                </c:pt>
                <c:pt idx="19">
                  <c:v>4.3</c:v>
                </c:pt>
                <c:pt idx="20">
                  <c:v>3.81</c:v>
                </c:pt>
                <c:pt idx="21">
                  <c:v>3.77</c:v>
                </c:pt>
                <c:pt idx="22">
                  <c:v>4.25</c:v>
                </c:pt>
                <c:pt idx="23">
                  <c:v>5.8</c:v>
                </c:pt>
                <c:pt idx="24">
                  <c:v>6.37</c:v>
                </c:pt>
                <c:pt idx="25">
                  <c:v>8.35</c:v>
                </c:pt>
                <c:pt idx="26">
                  <c:v>10.88</c:v>
                </c:pt>
                <c:pt idx="27">
                  <c:v>11.99</c:v>
                </c:pt>
                <c:pt idx="28">
                  <c:v>8.91</c:v>
                </c:pt>
                <c:pt idx="29">
                  <c:v>9.48</c:v>
                </c:pt>
                <c:pt idx="30">
                  <c:v>10.02</c:v>
                </c:pt>
                <c:pt idx="31">
                  <c:v>6.67</c:v>
                </c:pt>
                <c:pt idx="32">
                  <c:v>4.91</c:v>
                </c:pt>
                <c:pt idx="33">
                  <c:v>4.95</c:v>
                </c:pt>
                <c:pt idx="34">
                  <c:v>3.33</c:v>
                </c:pt>
                <c:pt idx="35">
                  <c:v>3.94</c:v>
                </c:pt>
                <c:pt idx="36">
                  <c:v>3.73</c:v>
                </c:pt>
                <c:pt idx="37">
                  <c:v>6.62</c:v>
                </c:pt>
              </c:numCache>
            </c:numRef>
          </c:xVal>
          <c:yVal>
            <c:numRef>
              <c:f>[1]Arkusz4!$A$65:$A$102</c:f>
              <c:numCache>
                <c:formatCode>General</c:formatCode>
                <c:ptCount val="38"/>
                <c:pt idx="0">
                  <c:v>26.108963265626635</c:v>
                </c:pt>
                <c:pt idx="1">
                  <c:v>26.080598220791387</c:v>
                </c:pt>
                <c:pt idx="2">
                  <c:v>26.172207148160084</c:v>
                </c:pt>
                <c:pt idx="3">
                  <c:v>26.240662482996122</c:v>
                </c:pt>
                <c:pt idx="4">
                  <c:v>26.35459798461391</c:v>
                </c:pt>
                <c:pt idx="5">
                  <c:v>26.415613161485624</c:v>
                </c:pt>
                <c:pt idx="6">
                  <c:v>26.413768372199044</c:v>
                </c:pt>
                <c:pt idx="7">
                  <c:v>26.494641619686462</c:v>
                </c:pt>
                <c:pt idx="8">
                  <c:v>26.322077874962332</c:v>
                </c:pt>
                <c:pt idx="9">
                  <c:v>26.386949771936749</c:v>
                </c:pt>
                <c:pt idx="10">
                  <c:v>26.35553807058356</c:v>
                </c:pt>
                <c:pt idx="11">
                  <c:v>26.514068416036146</c:v>
                </c:pt>
                <c:pt idx="12">
                  <c:v>26.610152763845043</c:v>
                </c:pt>
                <c:pt idx="13">
                  <c:v>26.696813466277504</c:v>
                </c:pt>
                <c:pt idx="14">
                  <c:v>26.753633147301262</c:v>
                </c:pt>
                <c:pt idx="15">
                  <c:v>26.76673318575585</c:v>
                </c:pt>
                <c:pt idx="16">
                  <c:v>26.851924722819589</c:v>
                </c:pt>
                <c:pt idx="17">
                  <c:v>26.872577660034214</c:v>
                </c:pt>
                <c:pt idx="18">
                  <c:v>26.908323623040616</c:v>
                </c:pt>
                <c:pt idx="19">
                  <c:v>26.967312242720016</c:v>
                </c:pt>
                <c:pt idx="20">
                  <c:v>27.132946000233598</c:v>
                </c:pt>
                <c:pt idx="21">
                  <c:v>27.287330812353115</c:v>
                </c:pt>
                <c:pt idx="22">
                  <c:v>27.433035429339736</c:v>
                </c:pt>
                <c:pt idx="23">
                  <c:v>27.569422151436065</c:v>
                </c:pt>
                <c:pt idx="24">
                  <c:v>27.827192520537938</c:v>
                </c:pt>
                <c:pt idx="25">
                  <c:v>27.812421900723301</c:v>
                </c:pt>
                <c:pt idx="26">
                  <c:v>27.92509765224813</c:v>
                </c:pt>
                <c:pt idx="27">
                  <c:v>28.147201578281397</c:v>
                </c:pt>
                <c:pt idx="28">
                  <c:v>28.231531998946945</c:v>
                </c:pt>
                <c:pt idx="29">
                  <c:v>28.234045461640768</c:v>
                </c:pt>
                <c:pt idx="30">
                  <c:v>28.249833748650111</c:v>
                </c:pt>
                <c:pt idx="31">
                  <c:v>28.343543109882685</c:v>
                </c:pt>
                <c:pt idx="32">
                  <c:v>28.374665485629396</c:v>
                </c:pt>
                <c:pt idx="33">
                  <c:v>28.461665929644546</c:v>
                </c:pt>
                <c:pt idx="34">
                  <c:v>28.606136430331777</c:v>
                </c:pt>
                <c:pt idx="35">
                  <c:v>28.625357381760317</c:v>
                </c:pt>
                <c:pt idx="36">
                  <c:v>28.671846165741808</c:v>
                </c:pt>
                <c:pt idx="37">
                  <c:v>28.612233277545126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29-45CA-BD8F-86AA7F202562}"/>
            </c:ext>
          </c:extLst>
        </c:ser>
        <c:ser>
          <c:idx val="1"/>
          <c:order val="1"/>
          <c:tx>
            <c:v>Przewidywane Y</c:v>
          </c:tx>
          <c:spPr>
            <a:ln w="19050">
              <a:noFill/>
            </a:ln>
          </c:spPr>
          <c:xVal>
            <c:numRef>
              <c:f>[1]Arkusz4!$I$65:$I$102</c:f>
              <c:numCache>
                <c:formatCode>General</c:formatCode>
                <c:ptCount val="38"/>
                <c:pt idx="0">
                  <c:v>11.87</c:v>
                </c:pt>
                <c:pt idx="1">
                  <c:v>8.32</c:v>
                </c:pt>
                <c:pt idx="2">
                  <c:v>5.56</c:v>
                </c:pt>
                <c:pt idx="3">
                  <c:v>8.73</c:v>
                </c:pt>
                <c:pt idx="4">
                  <c:v>8.8000000000000007</c:v>
                </c:pt>
                <c:pt idx="5">
                  <c:v>9.3800000000000008</c:v>
                </c:pt>
                <c:pt idx="6">
                  <c:v>7.07</c:v>
                </c:pt>
                <c:pt idx="7">
                  <c:v>8.9700000000000006</c:v>
                </c:pt>
                <c:pt idx="8">
                  <c:v>13.87</c:v>
                </c:pt>
                <c:pt idx="9">
                  <c:v>11.79</c:v>
                </c:pt>
                <c:pt idx="10">
                  <c:v>6.33</c:v>
                </c:pt>
                <c:pt idx="11">
                  <c:v>10.25</c:v>
                </c:pt>
                <c:pt idx="12">
                  <c:v>10.220000000000001</c:v>
                </c:pt>
                <c:pt idx="13">
                  <c:v>8.98</c:v>
                </c:pt>
                <c:pt idx="14">
                  <c:v>7.16</c:v>
                </c:pt>
                <c:pt idx="15">
                  <c:v>13.23</c:v>
                </c:pt>
                <c:pt idx="16">
                  <c:v>4.67</c:v>
                </c:pt>
                <c:pt idx="17">
                  <c:v>4.01</c:v>
                </c:pt>
                <c:pt idx="18">
                  <c:v>3.78</c:v>
                </c:pt>
                <c:pt idx="19">
                  <c:v>4.3</c:v>
                </c:pt>
                <c:pt idx="20">
                  <c:v>3.81</c:v>
                </c:pt>
                <c:pt idx="21">
                  <c:v>3.77</c:v>
                </c:pt>
                <c:pt idx="22">
                  <c:v>4.25</c:v>
                </c:pt>
                <c:pt idx="23">
                  <c:v>5.8</c:v>
                </c:pt>
                <c:pt idx="24">
                  <c:v>6.37</c:v>
                </c:pt>
                <c:pt idx="25">
                  <c:v>8.35</c:v>
                </c:pt>
                <c:pt idx="26">
                  <c:v>10.88</c:v>
                </c:pt>
                <c:pt idx="27">
                  <c:v>11.99</c:v>
                </c:pt>
                <c:pt idx="28">
                  <c:v>8.91</c:v>
                </c:pt>
                <c:pt idx="29">
                  <c:v>9.48</c:v>
                </c:pt>
                <c:pt idx="30">
                  <c:v>10.02</c:v>
                </c:pt>
                <c:pt idx="31">
                  <c:v>6.67</c:v>
                </c:pt>
                <c:pt idx="32">
                  <c:v>4.91</c:v>
                </c:pt>
                <c:pt idx="33">
                  <c:v>4.95</c:v>
                </c:pt>
                <c:pt idx="34">
                  <c:v>3.33</c:v>
                </c:pt>
                <c:pt idx="35">
                  <c:v>3.94</c:v>
                </c:pt>
                <c:pt idx="36">
                  <c:v>3.73</c:v>
                </c:pt>
                <c:pt idx="37">
                  <c:v>6.62</c:v>
                </c:pt>
              </c:numCache>
            </c:numRef>
          </c:xVal>
          <c:yVal>
            <c:numRef>
              <c:f>[1]Arkusz4!$U$112:$U$149</c:f>
              <c:numCache>
                <c:formatCode>General</c:formatCode>
                <c:ptCount val="38"/>
                <c:pt idx="0">
                  <c:v>26.052151353144893</c:v>
                </c:pt>
                <c:pt idx="1">
                  <c:v>26.116452536500574</c:v>
                </c:pt>
                <c:pt idx="2">
                  <c:v>26.230676243037088</c:v>
                </c:pt>
                <c:pt idx="3">
                  <c:v>26.321082319216206</c:v>
                </c:pt>
                <c:pt idx="4">
                  <c:v>26.377859936020641</c:v>
                </c:pt>
                <c:pt idx="5">
                  <c:v>26.338382695750816</c:v>
                </c:pt>
                <c:pt idx="6">
                  <c:v>26.343021934604721</c:v>
                </c:pt>
                <c:pt idx="7">
                  <c:v>26.390751428666597</c:v>
                </c:pt>
                <c:pt idx="8">
                  <c:v>26.361974740138024</c:v>
                </c:pt>
                <c:pt idx="9">
                  <c:v>26.411000291890929</c:v>
                </c:pt>
                <c:pt idx="10">
                  <c:v>26.396646428336258</c:v>
                </c:pt>
                <c:pt idx="11">
                  <c:v>26.500226010951447</c:v>
                </c:pt>
                <c:pt idx="12">
                  <c:v>26.603184768835614</c:v>
                </c:pt>
                <c:pt idx="13">
                  <c:v>26.673552579656459</c:v>
                </c:pt>
                <c:pt idx="14">
                  <c:v>26.719975629014563</c:v>
                </c:pt>
                <c:pt idx="15">
                  <c:v>26.838388540192202</c:v>
                </c:pt>
                <c:pt idx="16">
                  <c:v>26.779516432918228</c:v>
                </c:pt>
                <c:pt idx="17">
                  <c:v>26.855355530887902</c:v>
                </c:pt>
                <c:pt idx="18">
                  <c:v>26.980125627746968</c:v>
                </c:pt>
                <c:pt idx="19">
                  <c:v>27.051992137451894</c:v>
                </c:pt>
                <c:pt idx="20">
                  <c:v>27.118806227177256</c:v>
                </c:pt>
                <c:pt idx="21">
                  <c:v>27.263000281973127</c:v>
                </c:pt>
                <c:pt idx="22">
                  <c:v>27.439712500839157</c:v>
                </c:pt>
                <c:pt idx="23">
                  <c:v>27.56519320532044</c:v>
                </c:pt>
                <c:pt idx="24">
                  <c:v>27.829280297471669</c:v>
                </c:pt>
                <c:pt idx="25">
                  <c:v>27.869624185277125</c:v>
                </c:pt>
                <c:pt idx="26">
                  <c:v>27.962113222763776</c:v>
                </c:pt>
                <c:pt idx="27">
                  <c:v>28.063838800384449</c:v>
                </c:pt>
                <c:pt idx="28">
                  <c:v>28.20403017245285</c:v>
                </c:pt>
                <c:pt idx="29">
                  <c:v>28.292138505894876</c:v>
                </c:pt>
                <c:pt idx="30">
                  <c:v>28.237902485659035</c:v>
                </c:pt>
                <c:pt idx="31">
                  <c:v>28.281149600174317</c:v>
                </c:pt>
                <c:pt idx="32">
                  <c:v>28.388829969641428</c:v>
                </c:pt>
                <c:pt idx="33">
                  <c:v>28.444673785069391</c:v>
                </c:pt>
                <c:pt idx="34">
                  <c:v>28.578841027504652</c:v>
                </c:pt>
                <c:pt idx="35">
                  <c:v>28.639118324468928</c:v>
                </c:pt>
                <c:pt idx="36">
                  <c:v>28.660219888680015</c:v>
                </c:pt>
                <c:pt idx="37">
                  <c:v>28.651874590084741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29-45CA-BD8F-86AA7F202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730031"/>
        <c:axId val="586730511"/>
      </c:scatterChart>
      <c:valAx>
        <c:axId val="586730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Zmienna X 8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6730511"/>
        <c:crosses val="autoZero"/>
        <c:crossBetween val="midCat"/>
      </c:valAx>
      <c:valAx>
        <c:axId val="5867305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673003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Zmienna X 9 Rozkład linii dopasowanej</a:t>
            </a:r>
          </a:p>
        </c:rich>
      </c:tx>
      <c:layout>
        <c:manualLayout>
          <c:xMode val="edge"/>
          <c:yMode val="edge"/>
          <c:x val="0.36584248884911924"/>
          <c:y val="0.20085024343772476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[1]Arkusz4!$J$65:$J$102</c:f>
              <c:numCache>
                <c:formatCode>General</c:formatCode>
                <c:ptCount val="38"/>
                <c:pt idx="0">
                  <c:v>745826546</c:v>
                </c:pt>
                <c:pt idx="1">
                  <c:v>762895156</c:v>
                </c:pt>
                <c:pt idx="2">
                  <c:v>780242084</c:v>
                </c:pt>
                <c:pt idx="3">
                  <c:v>797878993</c:v>
                </c:pt>
                <c:pt idx="4">
                  <c:v>815716125</c:v>
                </c:pt>
                <c:pt idx="5">
                  <c:v>833729681</c:v>
                </c:pt>
                <c:pt idx="6">
                  <c:v>852012673</c:v>
                </c:pt>
                <c:pt idx="7">
                  <c:v>870452165</c:v>
                </c:pt>
                <c:pt idx="8">
                  <c:v>888941756</c:v>
                </c:pt>
                <c:pt idx="9">
                  <c:v>907574049</c:v>
                </c:pt>
                <c:pt idx="10">
                  <c:v>926351297</c:v>
                </c:pt>
                <c:pt idx="11">
                  <c:v>945261958</c:v>
                </c:pt>
                <c:pt idx="12">
                  <c:v>964279129</c:v>
                </c:pt>
                <c:pt idx="13">
                  <c:v>983281218</c:v>
                </c:pt>
                <c:pt idx="14">
                  <c:v>1002335230</c:v>
                </c:pt>
                <c:pt idx="15">
                  <c:v>1021434576</c:v>
                </c:pt>
                <c:pt idx="16">
                  <c:v>1040500054</c:v>
                </c:pt>
                <c:pt idx="17">
                  <c:v>1059633675</c:v>
                </c:pt>
                <c:pt idx="18">
                  <c:v>1078970907</c:v>
                </c:pt>
                <c:pt idx="19">
                  <c:v>1098313039</c:v>
                </c:pt>
                <c:pt idx="20">
                  <c:v>1117415123</c:v>
                </c:pt>
                <c:pt idx="21">
                  <c:v>1136264583</c:v>
                </c:pt>
                <c:pt idx="22">
                  <c:v>1154638713</c:v>
                </c:pt>
                <c:pt idx="23">
                  <c:v>1172373788</c:v>
                </c:pt>
                <c:pt idx="24">
                  <c:v>1189691809</c:v>
                </c:pt>
                <c:pt idx="25">
                  <c:v>1206734806</c:v>
                </c:pt>
                <c:pt idx="26">
                  <c:v>1223640160</c:v>
                </c:pt>
                <c:pt idx="27">
                  <c:v>1240613620</c:v>
                </c:pt>
                <c:pt idx="28">
                  <c:v>1257621191</c:v>
                </c:pt>
                <c:pt idx="29">
                  <c:v>1274487215</c:v>
                </c:pt>
                <c:pt idx="30">
                  <c:v>1291132063</c:v>
                </c:pt>
                <c:pt idx="31">
                  <c:v>1307246509</c:v>
                </c:pt>
                <c:pt idx="32">
                  <c:v>1322866505</c:v>
                </c:pt>
                <c:pt idx="33">
                  <c:v>1338636340</c:v>
                </c:pt>
                <c:pt idx="34">
                  <c:v>1354195680</c:v>
                </c:pt>
                <c:pt idx="35">
                  <c:v>1369003306</c:v>
                </c:pt>
                <c:pt idx="36">
                  <c:v>1383112050</c:v>
                </c:pt>
                <c:pt idx="37">
                  <c:v>1396387127</c:v>
                </c:pt>
              </c:numCache>
            </c:numRef>
          </c:xVal>
          <c:yVal>
            <c:numRef>
              <c:f>[1]Arkusz4!$A$65:$A$102</c:f>
              <c:numCache>
                <c:formatCode>General</c:formatCode>
                <c:ptCount val="38"/>
                <c:pt idx="0">
                  <c:v>26.108963265626635</c:v>
                </c:pt>
                <c:pt idx="1">
                  <c:v>26.080598220791387</c:v>
                </c:pt>
                <c:pt idx="2">
                  <c:v>26.172207148160084</c:v>
                </c:pt>
                <c:pt idx="3">
                  <c:v>26.240662482996122</c:v>
                </c:pt>
                <c:pt idx="4">
                  <c:v>26.35459798461391</c:v>
                </c:pt>
                <c:pt idx="5">
                  <c:v>26.415613161485624</c:v>
                </c:pt>
                <c:pt idx="6">
                  <c:v>26.413768372199044</c:v>
                </c:pt>
                <c:pt idx="7">
                  <c:v>26.494641619686462</c:v>
                </c:pt>
                <c:pt idx="8">
                  <c:v>26.322077874962332</c:v>
                </c:pt>
                <c:pt idx="9">
                  <c:v>26.386949771936749</c:v>
                </c:pt>
                <c:pt idx="10">
                  <c:v>26.35553807058356</c:v>
                </c:pt>
                <c:pt idx="11">
                  <c:v>26.514068416036146</c:v>
                </c:pt>
                <c:pt idx="12">
                  <c:v>26.610152763845043</c:v>
                </c:pt>
                <c:pt idx="13">
                  <c:v>26.696813466277504</c:v>
                </c:pt>
                <c:pt idx="14">
                  <c:v>26.753633147301262</c:v>
                </c:pt>
                <c:pt idx="15">
                  <c:v>26.76673318575585</c:v>
                </c:pt>
                <c:pt idx="16">
                  <c:v>26.851924722819589</c:v>
                </c:pt>
                <c:pt idx="17">
                  <c:v>26.872577660034214</c:v>
                </c:pt>
                <c:pt idx="18">
                  <c:v>26.908323623040616</c:v>
                </c:pt>
                <c:pt idx="19">
                  <c:v>26.967312242720016</c:v>
                </c:pt>
                <c:pt idx="20">
                  <c:v>27.132946000233598</c:v>
                </c:pt>
                <c:pt idx="21">
                  <c:v>27.287330812353115</c:v>
                </c:pt>
                <c:pt idx="22">
                  <c:v>27.433035429339736</c:v>
                </c:pt>
                <c:pt idx="23">
                  <c:v>27.569422151436065</c:v>
                </c:pt>
                <c:pt idx="24">
                  <c:v>27.827192520537938</c:v>
                </c:pt>
                <c:pt idx="25">
                  <c:v>27.812421900723301</c:v>
                </c:pt>
                <c:pt idx="26">
                  <c:v>27.92509765224813</c:v>
                </c:pt>
                <c:pt idx="27">
                  <c:v>28.147201578281397</c:v>
                </c:pt>
                <c:pt idx="28">
                  <c:v>28.231531998946945</c:v>
                </c:pt>
                <c:pt idx="29">
                  <c:v>28.234045461640768</c:v>
                </c:pt>
                <c:pt idx="30">
                  <c:v>28.249833748650111</c:v>
                </c:pt>
                <c:pt idx="31">
                  <c:v>28.343543109882685</c:v>
                </c:pt>
                <c:pt idx="32">
                  <c:v>28.374665485629396</c:v>
                </c:pt>
                <c:pt idx="33">
                  <c:v>28.461665929644546</c:v>
                </c:pt>
                <c:pt idx="34">
                  <c:v>28.606136430331777</c:v>
                </c:pt>
                <c:pt idx="35">
                  <c:v>28.625357381760317</c:v>
                </c:pt>
                <c:pt idx="36">
                  <c:v>28.671846165741808</c:v>
                </c:pt>
                <c:pt idx="37">
                  <c:v>28.612233277545126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9D-4EDF-AC62-F6AF9FD04736}"/>
            </c:ext>
          </c:extLst>
        </c:ser>
        <c:ser>
          <c:idx val="1"/>
          <c:order val="1"/>
          <c:tx>
            <c:v>Przewidywane Y</c:v>
          </c:tx>
          <c:spPr>
            <a:ln w="19050">
              <a:noFill/>
            </a:ln>
          </c:spPr>
          <c:xVal>
            <c:numRef>
              <c:f>[1]Arkusz4!$J$65:$J$102</c:f>
              <c:numCache>
                <c:formatCode>General</c:formatCode>
                <c:ptCount val="38"/>
                <c:pt idx="0">
                  <c:v>745826546</c:v>
                </c:pt>
                <c:pt idx="1">
                  <c:v>762895156</c:v>
                </c:pt>
                <c:pt idx="2">
                  <c:v>780242084</c:v>
                </c:pt>
                <c:pt idx="3">
                  <c:v>797878993</c:v>
                </c:pt>
                <c:pt idx="4">
                  <c:v>815716125</c:v>
                </c:pt>
                <c:pt idx="5">
                  <c:v>833729681</c:v>
                </c:pt>
                <c:pt idx="6">
                  <c:v>852012673</c:v>
                </c:pt>
                <c:pt idx="7">
                  <c:v>870452165</c:v>
                </c:pt>
                <c:pt idx="8">
                  <c:v>888941756</c:v>
                </c:pt>
                <c:pt idx="9">
                  <c:v>907574049</c:v>
                </c:pt>
                <c:pt idx="10">
                  <c:v>926351297</c:v>
                </c:pt>
                <c:pt idx="11">
                  <c:v>945261958</c:v>
                </c:pt>
                <c:pt idx="12">
                  <c:v>964279129</c:v>
                </c:pt>
                <c:pt idx="13">
                  <c:v>983281218</c:v>
                </c:pt>
                <c:pt idx="14">
                  <c:v>1002335230</c:v>
                </c:pt>
                <c:pt idx="15">
                  <c:v>1021434576</c:v>
                </c:pt>
                <c:pt idx="16">
                  <c:v>1040500054</c:v>
                </c:pt>
                <c:pt idx="17">
                  <c:v>1059633675</c:v>
                </c:pt>
                <c:pt idx="18">
                  <c:v>1078970907</c:v>
                </c:pt>
                <c:pt idx="19">
                  <c:v>1098313039</c:v>
                </c:pt>
                <c:pt idx="20">
                  <c:v>1117415123</c:v>
                </c:pt>
                <c:pt idx="21">
                  <c:v>1136264583</c:v>
                </c:pt>
                <c:pt idx="22">
                  <c:v>1154638713</c:v>
                </c:pt>
                <c:pt idx="23">
                  <c:v>1172373788</c:v>
                </c:pt>
                <c:pt idx="24">
                  <c:v>1189691809</c:v>
                </c:pt>
                <c:pt idx="25">
                  <c:v>1206734806</c:v>
                </c:pt>
                <c:pt idx="26">
                  <c:v>1223640160</c:v>
                </c:pt>
                <c:pt idx="27">
                  <c:v>1240613620</c:v>
                </c:pt>
                <c:pt idx="28">
                  <c:v>1257621191</c:v>
                </c:pt>
                <c:pt idx="29">
                  <c:v>1274487215</c:v>
                </c:pt>
                <c:pt idx="30">
                  <c:v>1291132063</c:v>
                </c:pt>
                <c:pt idx="31">
                  <c:v>1307246509</c:v>
                </c:pt>
                <c:pt idx="32">
                  <c:v>1322866505</c:v>
                </c:pt>
                <c:pt idx="33">
                  <c:v>1338636340</c:v>
                </c:pt>
                <c:pt idx="34">
                  <c:v>1354195680</c:v>
                </c:pt>
                <c:pt idx="35">
                  <c:v>1369003306</c:v>
                </c:pt>
                <c:pt idx="36">
                  <c:v>1383112050</c:v>
                </c:pt>
                <c:pt idx="37">
                  <c:v>1396387127</c:v>
                </c:pt>
              </c:numCache>
            </c:numRef>
          </c:xVal>
          <c:yVal>
            <c:numRef>
              <c:f>[1]Arkusz4!$U$112:$U$149</c:f>
              <c:numCache>
                <c:formatCode>General</c:formatCode>
                <c:ptCount val="38"/>
                <c:pt idx="0">
                  <c:v>26.052151353144893</c:v>
                </c:pt>
                <c:pt idx="1">
                  <c:v>26.116452536500574</c:v>
                </c:pt>
                <c:pt idx="2">
                  <c:v>26.230676243037088</c:v>
                </c:pt>
                <c:pt idx="3">
                  <c:v>26.321082319216206</c:v>
                </c:pt>
                <c:pt idx="4">
                  <c:v>26.377859936020641</c:v>
                </c:pt>
                <c:pt idx="5">
                  <c:v>26.338382695750816</c:v>
                </c:pt>
                <c:pt idx="6">
                  <c:v>26.343021934604721</c:v>
                </c:pt>
                <c:pt idx="7">
                  <c:v>26.390751428666597</c:v>
                </c:pt>
                <c:pt idx="8">
                  <c:v>26.361974740138024</c:v>
                </c:pt>
                <c:pt idx="9">
                  <c:v>26.411000291890929</c:v>
                </c:pt>
                <c:pt idx="10">
                  <c:v>26.396646428336258</c:v>
                </c:pt>
                <c:pt idx="11">
                  <c:v>26.500226010951447</c:v>
                </c:pt>
                <c:pt idx="12">
                  <c:v>26.603184768835614</c:v>
                </c:pt>
                <c:pt idx="13">
                  <c:v>26.673552579656459</c:v>
                </c:pt>
                <c:pt idx="14">
                  <c:v>26.719975629014563</c:v>
                </c:pt>
                <c:pt idx="15">
                  <c:v>26.838388540192202</c:v>
                </c:pt>
                <c:pt idx="16">
                  <c:v>26.779516432918228</c:v>
                </c:pt>
                <c:pt idx="17">
                  <c:v>26.855355530887902</c:v>
                </c:pt>
                <c:pt idx="18">
                  <c:v>26.980125627746968</c:v>
                </c:pt>
                <c:pt idx="19">
                  <c:v>27.051992137451894</c:v>
                </c:pt>
                <c:pt idx="20">
                  <c:v>27.118806227177256</c:v>
                </c:pt>
                <c:pt idx="21">
                  <c:v>27.263000281973127</c:v>
                </c:pt>
                <c:pt idx="22">
                  <c:v>27.439712500839157</c:v>
                </c:pt>
                <c:pt idx="23">
                  <c:v>27.56519320532044</c:v>
                </c:pt>
                <c:pt idx="24">
                  <c:v>27.829280297471669</c:v>
                </c:pt>
                <c:pt idx="25">
                  <c:v>27.869624185277125</c:v>
                </c:pt>
                <c:pt idx="26">
                  <c:v>27.962113222763776</c:v>
                </c:pt>
                <c:pt idx="27">
                  <c:v>28.063838800384449</c:v>
                </c:pt>
                <c:pt idx="28">
                  <c:v>28.20403017245285</c:v>
                </c:pt>
                <c:pt idx="29">
                  <c:v>28.292138505894876</c:v>
                </c:pt>
                <c:pt idx="30">
                  <c:v>28.237902485659035</c:v>
                </c:pt>
                <c:pt idx="31">
                  <c:v>28.281149600174317</c:v>
                </c:pt>
                <c:pt idx="32">
                  <c:v>28.388829969641428</c:v>
                </c:pt>
                <c:pt idx="33">
                  <c:v>28.444673785069391</c:v>
                </c:pt>
                <c:pt idx="34">
                  <c:v>28.578841027504652</c:v>
                </c:pt>
                <c:pt idx="35">
                  <c:v>28.639118324468928</c:v>
                </c:pt>
                <c:pt idx="36">
                  <c:v>28.660219888680015</c:v>
                </c:pt>
                <c:pt idx="37">
                  <c:v>28.651874590084741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9D-4EDF-AC62-F6AF9FD04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308255"/>
        <c:axId val="586306335"/>
      </c:scatterChart>
      <c:valAx>
        <c:axId val="586308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Zmienna X 9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6306335"/>
        <c:crosses val="autoZero"/>
        <c:crossBetween val="midCat"/>
      </c:valAx>
      <c:valAx>
        <c:axId val="5863063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630825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Zmienna X 10 Rozkład linii dopasowanej</a:t>
            </a:r>
          </a:p>
        </c:rich>
      </c:tx>
      <c:layout>
        <c:manualLayout>
          <c:xMode val="edge"/>
          <c:yMode val="edge"/>
          <c:x val="0.13979979459089351"/>
          <c:y val="0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[1]Arkusz4!$K$65:$K$102</c:f>
              <c:numCache>
                <c:formatCode>General</c:formatCode>
                <c:ptCount val="38"/>
                <c:pt idx="0">
                  <c:v>2.2799999999999998</c:v>
                </c:pt>
                <c:pt idx="1">
                  <c:v>2.29</c:v>
                </c:pt>
                <c:pt idx="2">
                  <c:v>2.27</c:v>
                </c:pt>
                <c:pt idx="3">
                  <c:v>2.2599999999999998</c:v>
                </c:pt>
                <c:pt idx="4">
                  <c:v>2.2400000000000002</c:v>
                </c:pt>
                <c:pt idx="5">
                  <c:v>2.21</c:v>
                </c:pt>
                <c:pt idx="6">
                  <c:v>2.19</c:v>
                </c:pt>
                <c:pt idx="7">
                  <c:v>2.16</c:v>
                </c:pt>
                <c:pt idx="8">
                  <c:v>2.12</c:v>
                </c:pt>
                <c:pt idx="9">
                  <c:v>2.1</c:v>
                </c:pt>
                <c:pt idx="10">
                  <c:v>2.0699999999999998</c:v>
                </c:pt>
                <c:pt idx="11">
                  <c:v>2.04</c:v>
                </c:pt>
                <c:pt idx="12">
                  <c:v>2.0099999999999998</c:v>
                </c:pt>
                <c:pt idx="13">
                  <c:v>1.97</c:v>
                </c:pt>
                <c:pt idx="14">
                  <c:v>1.94</c:v>
                </c:pt>
                <c:pt idx="15">
                  <c:v>1.91</c:v>
                </c:pt>
                <c:pt idx="16">
                  <c:v>1.87</c:v>
                </c:pt>
                <c:pt idx="17">
                  <c:v>1.84</c:v>
                </c:pt>
                <c:pt idx="18">
                  <c:v>1.82</c:v>
                </c:pt>
                <c:pt idx="19">
                  <c:v>1.79</c:v>
                </c:pt>
                <c:pt idx="20">
                  <c:v>1.74</c:v>
                </c:pt>
                <c:pt idx="21">
                  <c:v>1.69</c:v>
                </c:pt>
                <c:pt idx="22">
                  <c:v>1.62</c:v>
                </c:pt>
                <c:pt idx="23">
                  <c:v>1.54</c:v>
                </c:pt>
                <c:pt idx="24">
                  <c:v>1.48</c:v>
                </c:pt>
                <c:pt idx="25">
                  <c:v>1.43</c:v>
                </c:pt>
                <c:pt idx="26">
                  <c:v>1.4</c:v>
                </c:pt>
                <c:pt idx="27">
                  <c:v>1.39</c:v>
                </c:pt>
                <c:pt idx="28">
                  <c:v>1.37</c:v>
                </c:pt>
                <c:pt idx="29">
                  <c:v>1.34</c:v>
                </c:pt>
                <c:pt idx="30">
                  <c:v>1.31</c:v>
                </c:pt>
                <c:pt idx="31">
                  <c:v>1.25</c:v>
                </c:pt>
                <c:pt idx="32">
                  <c:v>1.19</c:v>
                </c:pt>
                <c:pt idx="33">
                  <c:v>1.19</c:v>
                </c:pt>
                <c:pt idx="34">
                  <c:v>1.1599999999999999</c:v>
                </c:pt>
                <c:pt idx="35">
                  <c:v>1.0900000000000001</c:v>
                </c:pt>
                <c:pt idx="36">
                  <c:v>1.03</c:v>
                </c:pt>
                <c:pt idx="37">
                  <c:v>0.96</c:v>
                </c:pt>
              </c:numCache>
            </c:numRef>
          </c:xVal>
          <c:yVal>
            <c:numRef>
              <c:f>[1]Arkusz4!$A$65:$A$102</c:f>
              <c:numCache>
                <c:formatCode>General</c:formatCode>
                <c:ptCount val="38"/>
                <c:pt idx="0">
                  <c:v>26.108963265626635</c:v>
                </c:pt>
                <c:pt idx="1">
                  <c:v>26.080598220791387</c:v>
                </c:pt>
                <c:pt idx="2">
                  <c:v>26.172207148160084</c:v>
                </c:pt>
                <c:pt idx="3">
                  <c:v>26.240662482996122</c:v>
                </c:pt>
                <c:pt idx="4">
                  <c:v>26.35459798461391</c:v>
                </c:pt>
                <c:pt idx="5">
                  <c:v>26.415613161485624</c:v>
                </c:pt>
                <c:pt idx="6">
                  <c:v>26.413768372199044</c:v>
                </c:pt>
                <c:pt idx="7">
                  <c:v>26.494641619686462</c:v>
                </c:pt>
                <c:pt idx="8">
                  <c:v>26.322077874962332</c:v>
                </c:pt>
                <c:pt idx="9">
                  <c:v>26.386949771936749</c:v>
                </c:pt>
                <c:pt idx="10">
                  <c:v>26.35553807058356</c:v>
                </c:pt>
                <c:pt idx="11">
                  <c:v>26.514068416036146</c:v>
                </c:pt>
                <c:pt idx="12">
                  <c:v>26.610152763845043</c:v>
                </c:pt>
                <c:pt idx="13">
                  <c:v>26.696813466277504</c:v>
                </c:pt>
                <c:pt idx="14">
                  <c:v>26.753633147301262</c:v>
                </c:pt>
                <c:pt idx="15">
                  <c:v>26.76673318575585</c:v>
                </c:pt>
                <c:pt idx="16">
                  <c:v>26.851924722819589</c:v>
                </c:pt>
                <c:pt idx="17">
                  <c:v>26.872577660034214</c:v>
                </c:pt>
                <c:pt idx="18">
                  <c:v>26.908323623040616</c:v>
                </c:pt>
                <c:pt idx="19">
                  <c:v>26.967312242720016</c:v>
                </c:pt>
                <c:pt idx="20">
                  <c:v>27.132946000233598</c:v>
                </c:pt>
                <c:pt idx="21">
                  <c:v>27.287330812353115</c:v>
                </c:pt>
                <c:pt idx="22">
                  <c:v>27.433035429339736</c:v>
                </c:pt>
                <c:pt idx="23">
                  <c:v>27.569422151436065</c:v>
                </c:pt>
                <c:pt idx="24">
                  <c:v>27.827192520537938</c:v>
                </c:pt>
                <c:pt idx="25">
                  <c:v>27.812421900723301</c:v>
                </c:pt>
                <c:pt idx="26">
                  <c:v>27.92509765224813</c:v>
                </c:pt>
                <c:pt idx="27">
                  <c:v>28.147201578281397</c:v>
                </c:pt>
                <c:pt idx="28">
                  <c:v>28.231531998946945</c:v>
                </c:pt>
                <c:pt idx="29">
                  <c:v>28.234045461640768</c:v>
                </c:pt>
                <c:pt idx="30">
                  <c:v>28.249833748650111</c:v>
                </c:pt>
                <c:pt idx="31">
                  <c:v>28.343543109882685</c:v>
                </c:pt>
                <c:pt idx="32">
                  <c:v>28.374665485629396</c:v>
                </c:pt>
                <c:pt idx="33">
                  <c:v>28.461665929644546</c:v>
                </c:pt>
                <c:pt idx="34">
                  <c:v>28.606136430331777</c:v>
                </c:pt>
                <c:pt idx="35">
                  <c:v>28.625357381760317</c:v>
                </c:pt>
                <c:pt idx="36">
                  <c:v>28.671846165741808</c:v>
                </c:pt>
                <c:pt idx="37">
                  <c:v>28.612233277545126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EE-4C8D-8391-DEEBC74BB3E6}"/>
            </c:ext>
          </c:extLst>
        </c:ser>
        <c:ser>
          <c:idx val="1"/>
          <c:order val="1"/>
          <c:tx>
            <c:v>Przewidywane Y</c:v>
          </c:tx>
          <c:spPr>
            <a:ln w="19050">
              <a:noFill/>
            </a:ln>
          </c:spPr>
          <c:xVal>
            <c:numRef>
              <c:f>[1]Arkusz4!$K$65:$K$102</c:f>
              <c:numCache>
                <c:formatCode>General</c:formatCode>
                <c:ptCount val="38"/>
                <c:pt idx="0">
                  <c:v>2.2799999999999998</c:v>
                </c:pt>
                <c:pt idx="1">
                  <c:v>2.29</c:v>
                </c:pt>
                <c:pt idx="2">
                  <c:v>2.27</c:v>
                </c:pt>
                <c:pt idx="3">
                  <c:v>2.2599999999999998</c:v>
                </c:pt>
                <c:pt idx="4">
                  <c:v>2.2400000000000002</c:v>
                </c:pt>
                <c:pt idx="5">
                  <c:v>2.21</c:v>
                </c:pt>
                <c:pt idx="6">
                  <c:v>2.19</c:v>
                </c:pt>
                <c:pt idx="7">
                  <c:v>2.16</c:v>
                </c:pt>
                <c:pt idx="8">
                  <c:v>2.12</c:v>
                </c:pt>
                <c:pt idx="9">
                  <c:v>2.1</c:v>
                </c:pt>
                <c:pt idx="10">
                  <c:v>2.0699999999999998</c:v>
                </c:pt>
                <c:pt idx="11">
                  <c:v>2.04</c:v>
                </c:pt>
                <c:pt idx="12">
                  <c:v>2.0099999999999998</c:v>
                </c:pt>
                <c:pt idx="13">
                  <c:v>1.97</c:v>
                </c:pt>
                <c:pt idx="14">
                  <c:v>1.94</c:v>
                </c:pt>
                <c:pt idx="15">
                  <c:v>1.91</c:v>
                </c:pt>
                <c:pt idx="16">
                  <c:v>1.87</c:v>
                </c:pt>
                <c:pt idx="17">
                  <c:v>1.84</c:v>
                </c:pt>
                <c:pt idx="18">
                  <c:v>1.82</c:v>
                </c:pt>
                <c:pt idx="19">
                  <c:v>1.79</c:v>
                </c:pt>
                <c:pt idx="20">
                  <c:v>1.74</c:v>
                </c:pt>
                <c:pt idx="21">
                  <c:v>1.69</c:v>
                </c:pt>
                <c:pt idx="22">
                  <c:v>1.62</c:v>
                </c:pt>
                <c:pt idx="23">
                  <c:v>1.54</c:v>
                </c:pt>
                <c:pt idx="24">
                  <c:v>1.48</c:v>
                </c:pt>
                <c:pt idx="25">
                  <c:v>1.43</c:v>
                </c:pt>
                <c:pt idx="26">
                  <c:v>1.4</c:v>
                </c:pt>
                <c:pt idx="27">
                  <c:v>1.39</c:v>
                </c:pt>
                <c:pt idx="28">
                  <c:v>1.37</c:v>
                </c:pt>
                <c:pt idx="29">
                  <c:v>1.34</c:v>
                </c:pt>
                <c:pt idx="30">
                  <c:v>1.31</c:v>
                </c:pt>
                <c:pt idx="31">
                  <c:v>1.25</c:v>
                </c:pt>
                <c:pt idx="32">
                  <c:v>1.19</c:v>
                </c:pt>
                <c:pt idx="33">
                  <c:v>1.19</c:v>
                </c:pt>
                <c:pt idx="34">
                  <c:v>1.1599999999999999</c:v>
                </c:pt>
                <c:pt idx="35">
                  <c:v>1.0900000000000001</c:v>
                </c:pt>
                <c:pt idx="36">
                  <c:v>1.03</c:v>
                </c:pt>
                <c:pt idx="37">
                  <c:v>0.96</c:v>
                </c:pt>
              </c:numCache>
            </c:numRef>
          </c:xVal>
          <c:yVal>
            <c:numRef>
              <c:f>[1]Arkusz4!$U$112:$U$149</c:f>
              <c:numCache>
                <c:formatCode>General</c:formatCode>
                <c:ptCount val="38"/>
                <c:pt idx="0">
                  <c:v>26.052151353144893</c:v>
                </c:pt>
                <c:pt idx="1">
                  <c:v>26.116452536500574</c:v>
                </c:pt>
                <c:pt idx="2">
                  <c:v>26.230676243037088</c:v>
                </c:pt>
                <c:pt idx="3">
                  <c:v>26.321082319216206</c:v>
                </c:pt>
                <c:pt idx="4">
                  <c:v>26.377859936020641</c:v>
                </c:pt>
                <c:pt idx="5">
                  <c:v>26.338382695750816</c:v>
                </c:pt>
                <c:pt idx="6">
                  <c:v>26.343021934604721</c:v>
                </c:pt>
                <c:pt idx="7">
                  <c:v>26.390751428666597</c:v>
                </c:pt>
                <c:pt idx="8">
                  <c:v>26.361974740138024</c:v>
                </c:pt>
                <c:pt idx="9">
                  <c:v>26.411000291890929</c:v>
                </c:pt>
                <c:pt idx="10">
                  <c:v>26.396646428336258</c:v>
                </c:pt>
                <c:pt idx="11">
                  <c:v>26.500226010951447</c:v>
                </c:pt>
                <c:pt idx="12">
                  <c:v>26.603184768835614</c:v>
                </c:pt>
                <c:pt idx="13">
                  <c:v>26.673552579656459</c:v>
                </c:pt>
                <c:pt idx="14">
                  <c:v>26.719975629014563</c:v>
                </c:pt>
                <c:pt idx="15">
                  <c:v>26.838388540192202</c:v>
                </c:pt>
                <c:pt idx="16">
                  <c:v>26.779516432918228</c:v>
                </c:pt>
                <c:pt idx="17">
                  <c:v>26.855355530887902</c:v>
                </c:pt>
                <c:pt idx="18">
                  <c:v>26.980125627746968</c:v>
                </c:pt>
                <c:pt idx="19">
                  <c:v>27.051992137451894</c:v>
                </c:pt>
                <c:pt idx="20">
                  <c:v>27.118806227177256</c:v>
                </c:pt>
                <c:pt idx="21">
                  <c:v>27.263000281973127</c:v>
                </c:pt>
                <c:pt idx="22">
                  <c:v>27.439712500839157</c:v>
                </c:pt>
                <c:pt idx="23">
                  <c:v>27.56519320532044</c:v>
                </c:pt>
                <c:pt idx="24">
                  <c:v>27.829280297471669</c:v>
                </c:pt>
                <c:pt idx="25">
                  <c:v>27.869624185277125</c:v>
                </c:pt>
                <c:pt idx="26">
                  <c:v>27.962113222763776</c:v>
                </c:pt>
                <c:pt idx="27">
                  <c:v>28.063838800384449</c:v>
                </c:pt>
                <c:pt idx="28">
                  <c:v>28.20403017245285</c:v>
                </c:pt>
                <c:pt idx="29">
                  <c:v>28.292138505894876</c:v>
                </c:pt>
                <c:pt idx="30">
                  <c:v>28.237902485659035</c:v>
                </c:pt>
                <c:pt idx="31">
                  <c:v>28.281149600174317</c:v>
                </c:pt>
                <c:pt idx="32">
                  <c:v>28.388829969641428</c:v>
                </c:pt>
                <c:pt idx="33">
                  <c:v>28.444673785069391</c:v>
                </c:pt>
                <c:pt idx="34">
                  <c:v>28.578841027504652</c:v>
                </c:pt>
                <c:pt idx="35">
                  <c:v>28.639118324468928</c:v>
                </c:pt>
                <c:pt idx="36">
                  <c:v>28.660219888680015</c:v>
                </c:pt>
                <c:pt idx="37">
                  <c:v>28.651874590084741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EE-4C8D-8391-DEEBC74BB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310175"/>
        <c:axId val="586311615"/>
      </c:scatterChart>
      <c:valAx>
        <c:axId val="586310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Zmienna X 10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6311615"/>
        <c:crosses val="autoZero"/>
        <c:crossBetween val="midCat"/>
      </c:valAx>
      <c:valAx>
        <c:axId val="5863116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631017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Zmienna X 11 Rozkład linii dopasowanej</a:t>
            </a:r>
          </a:p>
        </c:rich>
      </c:tx>
      <c:layout>
        <c:manualLayout>
          <c:xMode val="edge"/>
          <c:yMode val="edge"/>
          <c:x val="6.693598082848271E-4"/>
          <c:y val="3.3314813444914347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[1]Arkusz4!$L$65:$L$102</c:f>
              <c:numCache>
                <c:formatCode>General</c:formatCode>
                <c:ptCount val="38"/>
                <c:pt idx="0">
                  <c:v>54.91</c:v>
                </c:pt>
                <c:pt idx="1">
                  <c:v>55.27</c:v>
                </c:pt>
                <c:pt idx="2">
                  <c:v>55.62</c:v>
                </c:pt>
                <c:pt idx="3">
                  <c:v>55.98</c:v>
                </c:pt>
                <c:pt idx="4">
                  <c:v>56.33</c:v>
                </c:pt>
                <c:pt idx="5">
                  <c:v>56.69</c:v>
                </c:pt>
                <c:pt idx="6">
                  <c:v>57.18</c:v>
                </c:pt>
                <c:pt idx="7">
                  <c:v>57.66</c:v>
                </c:pt>
                <c:pt idx="8">
                  <c:v>58.15</c:v>
                </c:pt>
                <c:pt idx="9">
                  <c:v>58.63</c:v>
                </c:pt>
                <c:pt idx="10">
                  <c:v>59.12</c:v>
                </c:pt>
                <c:pt idx="11">
                  <c:v>59.59</c:v>
                </c:pt>
                <c:pt idx="12">
                  <c:v>60.06</c:v>
                </c:pt>
                <c:pt idx="13">
                  <c:v>60.53</c:v>
                </c:pt>
                <c:pt idx="14">
                  <c:v>61</c:v>
                </c:pt>
                <c:pt idx="15">
                  <c:v>61.47</c:v>
                </c:pt>
                <c:pt idx="16">
                  <c:v>61.88</c:v>
                </c:pt>
                <c:pt idx="17">
                  <c:v>62.28</c:v>
                </c:pt>
                <c:pt idx="18">
                  <c:v>62.69</c:v>
                </c:pt>
                <c:pt idx="19">
                  <c:v>63.09</c:v>
                </c:pt>
                <c:pt idx="20">
                  <c:v>63.5</c:v>
                </c:pt>
                <c:pt idx="21">
                  <c:v>63.91</c:v>
                </c:pt>
                <c:pt idx="22">
                  <c:v>64.31</c:v>
                </c:pt>
                <c:pt idx="23">
                  <c:v>64.72</c:v>
                </c:pt>
                <c:pt idx="24">
                  <c:v>65.12</c:v>
                </c:pt>
                <c:pt idx="25">
                  <c:v>65.53</c:v>
                </c:pt>
                <c:pt idx="26">
                  <c:v>65.98</c:v>
                </c:pt>
                <c:pt idx="27">
                  <c:v>66.430000000000007</c:v>
                </c:pt>
                <c:pt idx="28">
                  <c:v>66.87</c:v>
                </c:pt>
                <c:pt idx="29">
                  <c:v>67.319999999999993</c:v>
                </c:pt>
                <c:pt idx="30">
                  <c:v>67.77</c:v>
                </c:pt>
                <c:pt idx="31">
                  <c:v>68.069999999999993</c:v>
                </c:pt>
                <c:pt idx="32">
                  <c:v>68.37</c:v>
                </c:pt>
                <c:pt idx="33">
                  <c:v>68.67</c:v>
                </c:pt>
                <c:pt idx="34">
                  <c:v>68.97</c:v>
                </c:pt>
                <c:pt idx="35">
                  <c:v>69.27</c:v>
                </c:pt>
                <c:pt idx="36">
                  <c:v>69.5</c:v>
                </c:pt>
                <c:pt idx="37">
                  <c:v>69.73</c:v>
                </c:pt>
              </c:numCache>
            </c:numRef>
          </c:xVal>
          <c:yVal>
            <c:numRef>
              <c:f>[1]Arkusz4!$A$65:$A$102</c:f>
              <c:numCache>
                <c:formatCode>General</c:formatCode>
                <c:ptCount val="38"/>
                <c:pt idx="0">
                  <c:v>26.108963265626635</c:v>
                </c:pt>
                <c:pt idx="1">
                  <c:v>26.080598220791387</c:v>
                </c:pt>
                <c:pt idx="2">
                  <c:v>26.172207148160084</c:v>
                </c:pt>
                <c:pt idx="3">
                  <c:v>26.240662482996122</c:v>
                </c:pt>
                <c:pt idx="4">
                  <c:v>26.35459798461391</c:v>
                </c:pt>
                <c:pt idx="5">
                  <c:v>26.415613161485624</c:v>
                </c:pt>
                <c:pt idx="6">
                  <c:v>26.413768372199044</c:v>
                </c:pt>
                <c:pt idx="7">
                  <c:v>26.494641619686462</c:v>
                </c:pt>
                <c:pt idx="8">
                  <c:v>26.322077874962332</c:v>
                </c:pt>
                <c:pt idx="9">
                  <c:v>26.386949771936749</c:v>
                </c:pt>
                <c:pt idx="10">
                  <c:v>26.35553807058356</c:v>
                </c:pt>
                <c:pt idx="11">
                  <c:v>26.514068416036146</c:v>
                </c:pt>
                <c:pt idx="12">
                  <c:v>26.610152763845043</c:v>
                </c:pt>
                <c:pt idx="13">
                  <c:v>26.696813466277504</c:v>
                </c:pt>
                <c:pt idx="14">
                  <c:v>26.753633147301262</c:v>
                </c:pt>
                <c:pt idx="15">
                  <c:v>26.76673318575585</c:v>
                </c:pt>
                <c:pt idx="16">
                  <c:v>26.851924722819589</c:v>
                </c:pt>
                <c:pt idx="17">
                  <c:v>26.872577660034214</c:v>
                </c:pt>
                <c:pt idx="18">
                  <c:v>26.908323623040616</c:v>
                </c:pt>
                <c:pt idx="19">
                  <c:v>26.967312242720016</c:v>
                </c:pt>
                <c:pt idx="20">
                  <c:v>27.132946000233598</c:v>
                </c:pt>
                <c:pt idx="21">
                  <c:v>27.287330812353115</c:v>
                </c:pt>
                <c:pt idx="22">
                  <c:v>27.433035429339736</c:v>
                </c:pt>
                <c:pt idx="23">
                  <c:v>27.569422151436065</c:v>
                </c:pt>
                <c:pt idx="24">
                  <c:v>27.827192520537938</c:v>
                </c:pt>
                <c:pt idx="25">
                  <c:v>27.812421900723301</c:v>
                </c:pt>
                <c:pt idx="26">
                  <c:v>27.92509765224813</c:v>
                </c:pt>
                <c:pt idx="27">
                  <c:v>28.147201578281397</c:v>
                </c:pt>
                <c:pt idx="28">
                  <c:v>28.231531998946945</c:v>
                </c:pt>
                <c:pt idx="29">
                  <c:v>28.234045461640768</c:v>
                </c:pt>
                <c:pt idx="30">
                  <c:v>28.249833748650111</c:v>
                </c:pt>
                <c:pt idx="31">
                  <c:v>28.343543109882685</c:v>
                </c:pt>
                <c:pt idx="32">
                  <c:v>28.374665485629396</c:v>
                </c:pt>
                <c:pt idx="33">
                  <c:v>28.461665929644546</c:v>
                </c:pt>
                <c:pt idx="34">
                  <c:v>28.606136430331777</c:v>
                </c:pt>
                <c:pt idx="35">
                  <c:v>28.625357381760317</c:v>
                </c:pt>
                <c:pt idx="36">
                  <c:v>28.671846165741808</c:v>
                </c:pt>
                <c:pt idx="37">
                  <c:v>28.612233277545126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23-4A7E-8B49-02A19F4C9DD4}"/>
            </c:ext>
          </c:extLst>
        </c:ser>
        <c:ser>
          <c:idx val="1"/>
          <c:order val="1"/>
          <c:tx>
            <c:v>Przewidywane Y</c:v>
          </c:tx>
          <c:spPr>
            <a:ln w="19050">
              <a:noFill/>
            </a:ln>
          </c:spPr>
          <c:xVal>
            <c:numRef>
              <c:f>[1]Arkusz4!$L$65:$L$102</c:f>
              <c:numCache>
                <c:formatCode>General</c:formatCode>
                <c:ptCount val="38"/>
                <c:pt idx="0">
                  <c:v>54.91</c:v>
                </c:pt>
                <c:pt idx="1">
                  <c:v>55.27</c:v>
                </c:pt>
                <c:pt idx="2">
                  <c:v>55.62</c:v>
                </c:pt>
                <c:pt idx="3">
                  <c:v>55.98</c:v>
                </c:pt>
                <c:pt idx="4">
                  <c:v>56.33</c:v>
                </c:pt>
                <c:pt idx="5">
                  <c:v>56.69</c:v>
                </c:pt>
                <c:pt idx="6">
                  <c:v>57.18</c:v>
                </c:pt>
                <c:pt idx="7">
                  <c:v>57.66</c:v>
                </c:pt>
                <c:pt idx="8">
                  <c:v>58.15</c:v>
                </c:pt>
                <c:pt idx="9">
                  <c:v>58.63</c:v>
                </c:pt>
                <c:pt idx="10">
                  <c:v>59.12</c:v>
                </c:pt>
                <c:pt idx="11">
                  <c:v>59.59</c:v>
                </c:pt>
                <c:pt idx="12">
                  <c:v>60.06</c:v>
                </c:pt>
                <c:pt idx="13">
                  <c:v>60.53</c:v>
                </c:pt>
                <c:pt idx="14">
                  <c:v>61</c:v>
                </c:pt>
                <c:pt idx="15">
                  <c:v>61.47</c:v>
                </c:pt>
                <c:pt idx="16">
                  <c:v>61.88</c:v>
                </c:pt>
                <c:pt idx="17">
                  <c:v>62.28</c:v>
                </c:pt>
                <c:pt idx="18">
                  <c:v>62.69</c:v>
                </c:pt>
                <c:pt idx="19">
                  <c:v>63.09</c:v>
                </c:pt>
                <c:pt idx="20">
                  <c:v>63.5</c:v>
                </c:pt>
                <c:pt idx="21">
                  <c:v>63.91</c:v>
                </c:pt>
                <c:pt idx="22">
                  <c:v>64.31</c:v>
                </c:pt>
                <c:pt idx="23">
                  <c:v>64.72</c:v>
                </c:pt>
                <c:pt idx="24">
                  <c:v>65.12</c:v>
                </c:pt>
                <c:pt idx="25">
                  <c:v>65.53</c:v>
                </c:pt>
                <c:pt idx="26">
                  <c:v>65.98</c:v>
                </c:pt>
                <c:pt idx="27">
                  <c:v>66.430000000000007</c:v>
                </c:pt>
                <c:pt idx="28">
                  <c:v>66.87</c:v>
                </c:pt>
                <c:pt idx="29">
                  <c:v>67.319999999999993</c:v>
                </c:pt>
                <c:pt idx="30">
                  <c:v>67.77</c:v>
                </c:pt>
                <c:pt idx="31">
                  <c:v>68.069999999999993</c:v>
                </c:pt>
                <c:pt idx="32">
                  <c:v>68.37</c:v>
                </c:pt>
                <c:pt idx="33">
                  <c:v>68.67</c:v>
                </c:pt>
                <c:pt idx="34">
                  <c:v>68.97</c:v>
                </c:pt>
                <c:pt idx="35">
                  <c:v>69.27</c:v>
                </c:pt>
                <c:pt idx="36">
                  <c:v>69.5</c:v>
                </c:pt>
                <c:pt idx="37">
                  <c:v>69.73</c:v>
                </c:pt>
              </c:numCache>
            </c:numRef>
          </c:xVal>
          <c:yVal>
            <c:numRef>
              <c:f>[1]Arkusz4!$U$112:$U$149</c:f>
              <c:numCache>
                <c:formatCode>General</c:formatCode>
                <c:ptCount val="38"/>
                <c:pt idx="0">
                  <c:v>26.052151353144893</c:v>
                </c:pt>
                <c:pt idx="1">
                  <c:v>26.116452536500574</c:v>
                </c:pt>
                <c:pt idx="2">
                  <c:v>26.230676243037088</c:v>
                </c:pt>
                <c:pt idx="3">
                  <c:v>26.321082319216206</c:v>
                </c:pt>
                <c:pt idx="4">
                  <c:v>26.377859936020641</c:v>
                </c:pt>
                <c:pt idx="5">
                  <c:v>26.338382695750816</c:v>
                </c:pt>
                <c:pt idx="6">
                  <c:v>26.343021934604721</c:v>
                </c:pt>
                <c:pt idx="7">
                  <c:v>26.390751428666597</c:v>
                </c:pt>
                <c:pt idx="8">
                  <c:v>26.361974740138024</c:v>
                </c:pt>
                <c:pt idx="9">
                  <c:v>26.411000291890929</c:v>
                </c:pt>
                <c:pt idx="10">
                  <c:v>26.396646428336258</c:v>
                </c:pt>
                <c:pt idx="11">
                  <c:v>26.500226010951447</c:v>
                </c:pt>
                <c:pt idx="12">
                  <c:v>26.603184768835614</c:v>
                </c:pt>
                <c:pt idx="13">
                  <c:v>26.673552579656459</c:v>
                </c:pt>
                <c:pt idx="14">
                  <c:v>26.719975629014563</c:v>
                </c:pt>
                <c:pt idx="15">
                  <c:v>26.838388540192202</c:v>
                </c:pt>
                <c:pt idx="16">
                  <c:v>26.779516432918228</c:v>
                </c:pt>
                <c:pt idx="17">
                  <c:v>26.855355530887902</c:v>
                </c:pt>
                <c:pt idx="18">
                  <c:v>26.980125627746968</c:v>
                </c:pt>
                <c:pt idx="19">
                  <c:v>27.051992137451894</c:v>
                </c:pt>
                <c:pt idx="20">
                  <c:v>27.118806227177256</c:v>
                </c:pt>
                <c:pt idx="21">
                  <c:v>27.263000281973127</c:v>
                </c:pt>
                <c:pt idx="22">
                  <c:v>27.439712500839157</c:v>
                </c:pt>
                <c:pt idx="23">
                  <c:v>27.56519320532044</c:v>
                </c:pt>
                <c:pt idx="24">
                  <c:v>27.829280297471669</c:v>
                </c:pt>
                <c:pt idx="25">
                  <c:v>27.869624185277125</c:v>
                </c:pt>
                <c:pt idx="26">
                  <c:v>27.962113222763776</c:v>
                </c:pt>
                <c:pt idx="27">
                  <c:v>28.063838800384449</c:v>
                </c:pt>
                <c:pt idx="28">
                  <c:v>28.20403017245285</c:v>
                </c:pt>
                <c:pt idx="29">
                  <c:v>28.292138505894876</c:v>
                </c:pt>
                <c:pt idx="30">
                  <c:v>28.237902485659035</c:v>
                </c:pt>
                <c:pt idx="31">
                  <c:v>28.281149600174317</c:v>
                </c:pt>
                <c:pt idx="32">
                  <c:v>28.388829969641428</c:v>
                </c:pt>
                <c:pt idx="33">
                  <c:v>28.444673785069391</c:v>
                </c:pt>
                <c:pt idx="34">
                  <c:v>28.578841027504652</c:v>
                </c:pt>
                <c:pt idx="35">
                  <c:v>28.639118324468928</c:v>
                </c:pt>
                <c:pt idx="36">
                  <c:v>28.660219888680015</c:v>
                </c:pt>
                <c:pt idx="37">
                  <c:v>28.651874590084741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23-4A7E-8B49-02A19F4C9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309695"/>
        <c:axId val="586730031"/>
      </c:scatterChart>
      <c:valAx>
        <c:axId val="586309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Zmienna X 11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6730031"/>
        <c:crosses val="autoZero"/>
        <c:crossBetween val="midCat"/>
      </c:valAx>
      <c:valAx>
        <c:axId val="5867300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630969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10</xdr:col>
      <xdr:colOff>1905000</xdr:colOff>
      <xdr:row>14</xdr:row>
      <xdr:rowOff>52211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00ECAD3-6AD2-4959-98BA-2B9E9F4762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10</xdr:col>
      <xdr:colOff>1905000</xdr:colOff>
      <xdr:row>28</xdr:row>
      <xdr:rowOff>45862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98F7B9C0-E292-4094-96D7-EC3E13746B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30</xdr:row>
      <xdr:rowOff>0</xdr:rowOff>
    </xdr:from>
    <xdr:to>
      <xdr:col>10</xdr:col>
      <xdr:colOff>1905000</xdr:colOff>
      <xdr:row>40</xdr:row>
      <xdr:rowOff>37041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6C83548D-A358-466A-BDA1-28E051A947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501650</xdr:colOff>
      <xdr:row>43</xdr:row>
      <xdr:rowOff>31750</xdr:rowOff>
    </xdr:from>
    <xdr:to>
      <xdr:col>10</xdr:col>
      <xdr:colOff>2330450</xdr:colOff>
      <xdr:row>52</xdr:row>
      <xdr:rowOff>119592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F9CCF92A-C288-4760-BA28-B5850C4858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590550</xdr:colOff>
      <xdr:row>54</xdr:row>
      <xdr:rowOff>57150</xdr:rowOff>
    </xdr:from>
    <xdr:to>
      <xdr:col>10</xdr:col>
      <xdr:colOff>1885950</xdr:colOff>
      <xdr:row>64</xdr:row>
      <xdr:rowOff>82903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85EE0D11-C100-4961-AB36-4380211C9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88900</xdr:colOff>
      <xdr:row>67</xdr:row>
      <xdr:rowOff>0</xdr:rowOff>
    </xdr:from>
    <xdr:to>
      <xdr:col>10</xdr:col>
      <xdr:colOff>1993900</xdr:colOff>
      <xdr:row>77</xdr:row>
      <xdr:rowOff>19403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94348AD8-37C3-4203-AC57-BA5179856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79</xdr:row>
      <xdr:rowOff>0</xdr:rowOff>
    </xdr:from>
    <xdr:to>
      <xdr:col>10</xdr:col>
      <xdr:colOff>1905000</xdr:colOff>
      <xdr:row>89</xdr:row>
      <xdr:rowOff>19402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9D4EACFD-FD19-4F26-8E63-1F0B746BF5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91</xdr:row>
      <xdr:rowOff>0</xdr:rowOff>
    </xdr:from>
    <xdr:to>
      <xdr:col>10</xdr:col>
      <xdr:colOff>1905000</xdr:colOff>
      <xdr:row>101</xdr:row>
      <xdr:rowOff>24342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59D3F4CD-A814-42CE-9573-7B996EB52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393700</xdr:colOff>
      <xdr:row>102</xdr:row>
      <xdr:rowOff>95250</xdr:rowOff>
    </xdr:from>
    <xdr:to>
      <xdr:col>10</xdr:col>
      <xdr:colOff>4010024</xdr:colOff>
      <xdr:row>116</xdr:row>
      <xdr:rowOff>172860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ACFDBB1A-2526-4D43-BD94-C2356A23C6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6350</xdr:colOff>
      <xdr:row>119</xdr:row>
      <xdr:rowOff>146050</xdr:rowOff>
    </xdr:from>
    <xdr:to>
      <xdr:col>10</xdr:col>
      <xdr:colOff>1911350</xdr:colOff>
      <xdr:row>130</xdr:row>
      <xdr:rowOff>8819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C3355555-2ACB-47D7-BD29-88B54CDCC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0</xdr:colOff>
      <xdr:row>133</xdr:row>
      <xdr:rowOff>0</xdr:rowOff>
    </xdr:from>
    <xdr:to>
      <xdr:col>10</xdr:col>
      <xdr:colOff>1905000</xdr:colOff>
      <xdr:row>143</xdr:row>
      <xdr:rowOff>64559</xdr:rowOff>
    </xdr:to>
    <xdr:graphicFrame macro="">
      <xdr:nvGraphicFramePr>
        <xdr:cNvPr id="13" name="Wykres 12">
          <a:extLst>
            <a:ext uri="{FF2B5EF4-FFF2-40B4-BE49-F238E27FC236}">
              <a16:creationId xmlns:a16="http://schemas.microsoft.com/office/drawing/2014/main" id="{92FD62A5-3295-459A-87A7-48E46ACBB4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15</xdr:row>
      <xdr:rowOff>101600</xdr:rowOff>
    </xdr:from>
    <xdr:to>
      <xdr:col>14</xdr:col>
      <xdr:colOff>182138</xdr:colOff>
      <xdr:row>70</xdr:row>
      <xdr:rowOff>163346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17591D9-DA41-C250-7DF8-1457681BA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3009900"/>
          <a:ext cx="8335538" cy="10183646"/>
        </a:xfrm>
        <a:prstGeom prst="rect">
          <a:avLst/>
        </a:prstGeom>
      </xdr:spPr>
    </xdr:pic>
    <xdr:clientData/>
  </xdr:twoCellAnchor>
  <xdr:twoCellAnchor editAs="oneCell">
    <xdr:from>
      <xdr:col>0</xdr:col>
      <xdr:colOff>450850</xdr:colOff>
      <xdr:row>75</xdr:row>
      <xdr:rowOff>88900</xdr:rowOff>
    </xdr:from>
    <xdr:to>
      <xdr:col>10</xdr:col>
      <xdr:colOff>121456</xdr:colOff>
      <xdr:row>102</xdr:row>
      <xdr:rowOff>7033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A32F6102-17A0-A224-9195-E1C2B2982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0850" y="14046200"/>
          <a:ext cx="5772956" cy="4896533"/>
        </a:xfrm>
        <a:prstGeom prst="rect">
          <a:avLst/>
        </a:prstGeom>
      </xdr:spPr>
    </xdr:pic>
    <xdr:clientData/>
  </xdr:twoCellAnchor>
  <xdr:twoCellAnchor editAs="oneCell">
    <xdr:from>
      <xdr:col>0</xdr:col>
      <xdr:colOff>450850</xdr:colOff>
      <xdr:row>103</xdr:row>
      <xdr:rowOff>44450</xdr:rowOff>
    </xdr:from>
    <xdr:to>
      <xdr:col>9</xdr:col>
      <xdr:colOff>600861</xdr:colOff>
      <xdr:row>130</xdr:row>
      <xdr:rowOff>26091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8C43D4A3-3F61-BA97-05C6-72B2A64AF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0850" y="19157950"/>
          <a:ext cx="5630061" cy="4953691"/>
        </a:xfrm>
        <a:prstGeom prst="rect">
          <a:avLst/>
        </a:prstGeom>
      </xdr:spPr>
    </xdr:pic>
    <xdr:clientData/>
  </xdr:twoCellAnchor>
  <xdr:twoCellAnchor editAs="oneCell">
    <xdr:from>
      <xdr:col>0</xdr:col>
      <xdr:colOff>450850</xdr:colOff>
      <xdr:row>128</xdr:row>
      <xdr:rowOff>82550</xdr:rowOff>
    </xdr:from>
    <xdr:to>
      <xdr:col>10</xdr:col>
      <xdr:colOff>102403</xdr:colOff>
      <xdr:row>156</xdr:row>
      <xdr:rowOff>707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C3073BAD-9A8E-7CA9-E254-DA96092C3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0850" y="23799800"/>
          <a:ext cx="5753903" cy="5068007"/>
        </a:xfrm>
        <a:prstGeom prst="rect">
          <a:avLst/>
        </a:prstGeom>
      </xdr:spPr>
    </xdr:pic>
    <xdr:clientData/>
  </xdr:twoCellAnchor>
  <xdr:twoCellAnchor editAs="oneCell">
    <xdr:from>
      <xdr:col>0</xdr:col>
      <xdr:colOff>273050</xdr:colOff>
      <xdr:row>156</xdr:row>
      <xdr:rowOff>95250</xdr:rowOff>
    </xdr:from>
    <xdr:to>
      <xdr:col>9</xdr:col>
      <xdr:colOff>588185</xdr:colOff>
      <xdr:row>182</xdr:row>
      <xdr:rowOff>45112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8396BA99-237E-EE32-D581-8407FF617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3050" y="28968700"/>
          <a:ext cx="5801535" cy="4744112"/>
        </a:xfrm>
        <a:prstGeom prst="rect">
          <a:avLst/>
        </a:prstGeom>
      </xdr:spPr>
    </xdr:pic>
    <xdr:clientData/>
  </xdr:twoCellAnchor>
  <xdr:twoCellAnchor editAs="oneCell">
    <xdr:from>
      <xdr:col>0</xdr:col>
      <xdr:colOff>260350</xdr:colOff>
      <xdr:row>182</xdr:row>
      <xdr:rowOff>12700</xdr:rowOff>
    </xdr:from>
    <xdr:to>
      <xdr:col>9</xdr:col>
      <xdr:colOff>391308</xdr:colOff>
      <xdr:row>207</xdr:row>
      <xdr:rowOff>57799</xdr:rowOff>
    </xdr:to>
    <xdr:pic>
      <xdr:nvPicPr>
        <xdr:cNvPr id="7" name="Obraz 6">
          <a:extLst>
            <a:ext uri="{FF2B5EF4-FFF2-40B4-BE49-F238E27FC236}">
              <a16:creationId xmlns:a16="http://schemas.microsoft.com/office/drawing/2014/main" id="{F0418FAD-E11E-F388-B6B1-D9AC40189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0350" y="33674050"/>
          <a:ext cx="5611008" cy="46488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142875</xdr:rowOff>
    </xdr:from>
    <xdr:to>
      <xdr:col>2</xdr:col>
      <xdr:colOff>142875</xdr:colOff>
      <xdr:row>10</xdr:row>
      <xdr:rowOff>123825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Object 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600-0000010C0000}"/>
                </a:ext>
              </a:extLst>
            </xdr:cNvPr>
            <xdr:cNvSpPr txBox="1"/>
          </xdr:nvSpPr>
          <xdr:spPr>
            <a:xfrm>
              <a:off x="0" y="1485900"/>
              <a:ext cx="1362075" cy="55245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pl-PL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𝑉𝐼</m:t>
                    </m:r>
                    <m:sSub>
                      <m:sSubPr>
                        <m:ctrlPr>
                          <a:rPr lang="pl-PL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pl-PL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𝑘</m:t>
                        </m:r>
                      </m:sub>
                    </m:sSub>
                    <m:r>
                      <a:rPr lang="pl-PL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pl-PL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1−</m:t>
                        </m:r>
                        <m:sSup>
                          <m:sSupPr>
                            <m:ctrlPr>
                              <a:rPr lang="pl-PL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pl-PL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p>
                            <m:r>
                              <a:rPr lang="pl-PL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pl-PL"/>
            </a:p>
          </xdr:txBody>
        </xdr:sp>
      </mc:Choice>
      <mc:Fallback xmlns="">
        <xdr:sp macro="" textlink="">
          <xdr:nvSpPr>
            <xdr:cNvPr id="2" name="Object 1">
              <a:extLst>
                <a:ext uri="{63B3BB69-23CF-44E3-9099-C40C66FF867C}">
                  <a14:compatExt xmlns:a14="http://schemas.microsoft.com/office/drawing/2010/main" spid="_x0000_s3073"/>
                </a:ext>
                <a:ext uri="{FF2B5EF4-FFF2-40B4-BE49-F238E27FC236}">
                  <a16:creationId xmlns:a16="http://schemas.microsoft.com/office/drawing/2014/main" id="{00000000-0008-0000-0600-0000010C0000}"/>
                </a:ext>
              </a:extLst>
            </xdr:cNvPr>
            <xdr:cNvSpPr txBox="1"/>
          </xdr:nvSpPr>
          <xdr:spPr>
            <a:xfrm>
              <a:off x="0" y="1485900"/>
              <a:ext cx="1362075" cy="55245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pPr/>
              <a:r>
                <a:rPr lang="pl-PL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𝑉𝐼𝐹_𝑘=1/(1−𝑅^2 )</a:t>
              </a:r>
              <a:endParaRPr lang="pl-PL"/>
            </a:p>
          </xdr:txBody>
        </xdr:sp>
      </mc:Fallback>
    </mc:AlternateContent>
    <xdr:clientData/>
  </xdr:twoCellAnchor>
  <xdr:twoCellAnchor editAs="oneCell">
    <xdr:from>
      <xdr:col>0</xdr:col>
      <xdr:colOff>57150</xdr:colOff>
      <xdr:row>13</xdr:row>
      <xdr:rowOff>114300</xdr:rowOff>
    </xdr:from>
    <xdr:to>
      <xdr:col>5</xdr:col>
      <xdr:colOff>562471</xdr:colOff>
      <xdr:row>22</xdr:row>
      <xdr:rowOff>57373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E0A5BC05-4D95-C814-1495-D9568C652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571750"/>
          <a:ext cx="3553321" cy="160042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69850</xdr:rowOff>
    </xdr:from>
    <xdr:to>
      <xdr:col>6</xdr:col>
      <xdr:colOff>5868729</xdr:colOff>
      <xdr:row>19</xdr:row>
      <xdr:rowOff>143219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454E179F-99C8-C342-D2E8-6E8F231EB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3700"/>
          <a:ext cx="9526329" cy="24673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460549</xdr:colOff>
      <xdr:row>11</xdr:row>
      <xdr:rowOff>34891</xdr:rowOff>
    </xdr:from>
    <xdr:to>
      <xdr:col>12</xdr:col>
      <xdr:colOff>342846</xdr:colOff>
      <xdr:row>34</xdr:row>
      <xdr:rowOff>113497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49B9DFD-F81F-CDA7-A377-FAE6E9293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1263" y="2526045"/>
          <a:ext cx="8611802" cy="423921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44173</xdr:rowOff>
    </xdr:from>
    <xdr:to>
      <xdr:col>0</xdr:col>
      <xdr:colOff>4060321</xdr:colOff>
      <xdr:row>25</xdr:row>
      <xdr:rowOff>60088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B9C39CD-D3CA-8C8C-5683-451E68054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81173"/>
          <a:ext cx="4060321" cy="1473654"/>
        </a:xfrm>
        <a:prstGeom prst="rect">
          <a:avLst/>
        </a:prstGeom>
      </xdr:spPr>
    </xdr:pic>
    <xdr:clientData/>
  </xdr:twoCellAnchor>
  <xdr:twoCellAnchor editAs="oneCell">
    <xdr:from>
      <xdr:col>0</xdr:col>
      <xdr:colOff>165651</xdr:colOff>
      <xdr:row>31</xdr:row>
      <xdr:rowOff>62570</xdr:rowOff>
    </xdr:from>
    <xdr:to>
      <xdr:col>0</xdr:col>
      <xdr:colOff>5516216</xdr:colOff>
      <xdr:row>46</xdr:row>
      <xdr:rowOff>67987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50CA0545-3C16-028E-D497-E1A67C196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51" y="6550613"/>
          <a:ext cx="5350565" cy="273867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31750</xdr:rowOff>
    </xdr:from>
    <xdr:to>
      <xdr:col>0</xdr:col>
      <xdr:colOff>5917184</xdr:colOff>
      <xdr:row>39</xdr:row>
      <xdr:rowOff>32092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E321C13D-99BD-1635-10A4-C96F6CFE8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19450"/>
          <a:ext cx="5917184" cy="492540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acpe\Downloads\Projekt1%20(1).xlsx" TargetMode="External"/><Relationship Id="rId1" Type="http://schemas.openxmlformats.org/officeDocument/2006/relationships/externalLinkPath" Target="Projekt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ianEco"/>
      <sheetName val="Arkusz11"/>
      <sheetName val="Arkusz4"/>
      <sheetName val="Arkusz12"/>
      <sheetName val="Arkusz3"/>
      <sheetName val="Arkusz5"/>
      <sheetName val="Arkusz6"/>
      <sheetName val="Arkusz7"/>
      <sheetName val="Arkusz8"/>
      <sheetName val="Arkusz9"/>
      <sheetName val="Arkusz1"/>
      <sheetName val="Arkusz2"/>
      <sheetName val="zalozenia"/>
      <sheetName val="2.Dobór zmiennych do modelu"/>
      <sheetName val="34.Ocena dopasowania modelu "/>
      <sheetName val="5.Badanie wspollinosci"/>
    </sheetNames>
    <sheetDataSet>
      <sheetData sheetId="0"/>
      <sheetData sheetId="1"/>
      <sheetData sheetId="2">
        <row r="65">
          <cell r="A65">
            <v>26.108963265626635</v>
          </cell>
          <cell r="B65">
            <v>1.948</v>
          </cell>
          <cell r="C65">
            <v>39.020000000000003</v>
          </cell>
          <cell r="D65">
            <v>52.1</v>
          </cell>
          <cell r="E65">
            <v>1.151</v>
          </cell>
          <cell r="F65">
            <v>7.85</v>
          </cell>
          <cell r="G65">
            <v>5.84</v>
          </cell>
          <cell r="H65">
            <v>8215732398.9700003</v>
          </cell>
          <cell r="I65">
            <v>11.87</v>
          </cell>
          <cell r="J65">
            <v>745826546</v>
          </cell>
          <cell r="K65">
            <v>2.2799999999999998</v>
          </cell>
          <cell r="L65">
            <v>54.91</v>
          </cell>
        </row>
        <row r="66">
          <cell r="A66">
            <v>26.080598220791387</v>
          </cell>
          <cell r="B66">
            <v>2.2909999999999999</v>
          </cell>
          <cell r="C66">
            <v>38.909999999999997</v>
          </cell>
          <cell r="D66">
            <v>52.6</v>
          </cell>
          <cell r="E66">
            <v>1.2949999999999999</v>
          </cell>
          <cell r="F66">
            <v>7.73</v>
          </cell>
          <cell r="G66">
            <v>6.28</v>
          </cell>
          <cell r="H66">
            <v>8535944481.1999998</v>
          </cell>
          <cell r="I66">
            <v>8.32</v>
          </cell>
          <cell r="J66">
            <v>762895156</v>
          </cell>
          <cell r="K66">
            <v>2.29</v>
          </cell>
          <cell r="L66">
            <v>55.27</v>
          </cell>
        </row>
        <row r="67">
          <cell r="A67">
            <v>26.172207148160084</v>
          </cell>
          <cell r="B67">
            <v>2.4929999999999999</v>
          </cell>
          <cell r="C67">
            <v>38.75</v>
          </cell>
          <cell r="D67">
            <v>53.11</v>
          </cell>
          <cell r="E67">
            <v>1.5289999999999999</v>
          </cell>
          <cell r="F67">
            <v>7.65</v>
          </cell>
          <cell r="G67">
            <v>5.25</v>
          </cell>
          <cell r="H67">
            <v>9493102974.0200005</v>
          </cell>
          <cell r="I67">
            <v>5.56</v>
          </cell>
          <cell r="J67">
            <v>780242084</v>
          </cell>
          <cell r="K67">
            <v>2.27</v>
          </cell>
          <cell r="L67">
            <v>55.62</v>
          </cell>
        </row>
        <row r="68">
          <cell r="A68">
            <v>26.240662482996122</v>
          </cell>
          <cell r="B68">
            <v>2.4969999999999999</v>
          </cell>
          <cell r="C68">
            <v>38.71</v>
          </cell>
          <cell r="D68">
            <v>53.62</v>
          </cell>
          <cell r="E68">
            <v>1.911</v>
          </cell>
          <cell r="F68">
            <v>7.02</v>
          </cell>
          <cell r="G68">
            <v>5.2</v>
          </cell>
          <cell r="H68">
            <v>10480102587.559999</v>
          </cell>
          <cell r="I68">
            <v>8.73</v>
          </cell>
          <cell r="J68">
            <v>797878993</v>
          </cell>
          <cell r="K68">
            <v>2.2599999999999998</v>
          </cell>
          <cell r="L68">
            <v>55.98</v>
          </cell>
        </row>
        <row r="69">
          <cell r="A69">
            <v>26.35459798461391</v>
          </cell>
          <cell r="B69">
            <v>2.52</v>
          </cell>
          <cell r="C69">
            <v>38.58</v>
          </cell>
          <cell r="D69">
            <v>54.12</v>
          </cell>
          <cell r="E69">
            <v>2.0950000000000002</v>
          </cell>
          <cell r="F69">
            <v>6.98</v>
          </cell>
          <cell r="G69">
            <v>5.6</v>
          </cell>
          <cell r="H69">
            <v>11511740598.809999</v>
          </cell>
          <cell r="I69">
            <v>8.8000000000000007</v>
          </cell>
          <cell r="J69">
            <v>815716125</v>
          </cell>
          <cell r="K69">
            <v>2.2400000000000002</v>
          </cell>
          <cell r="L69">
            <v>56.33</v>
          </cell>
        </row>
        <row r="70">
          <cell r="A70">
            <v>26.415613161485624</v>
          </cell>
          <cell r="B70">
            <v>2.504</v>
          </cell>
          <cell r="C70">
            <v>38.4</v>
          </cell>
          <cell r="D70">
            <v>55.02</v>
          </cell>
          <cell r="E70">
            <v>2.2400000000000002</v>
          </cell>
          <cell r="F70">
            <v>7.46</v>
          </cell>
          <cell r="G70">
            <v>6.04</v>
          </cell>
          <cell r="H70">
            <v>9185839446.5400009</v>
          </cell>
          <cell r="I70">
            <v>9.3800000000000008</v>
          </cell>
          <cell r="J70">
            <v>833729681</v>
          </cell>
          <cell r="K70">
            <v>2.21</v>
          </cell>
          <cell r="L70">
            <v>56.69</v>
          </cell>
        </row>
        <row r="71">
          <cell r="A71">
            <v>26.413768372199044</v>
          </cell>
          <cell r="B71">
            <v>2.6</v>
          </cell>
          <cell r="C71">
            <v>38.19</v>
          </cell>
          <cell r="D71">
            <v>55.91</v>
          </cell>
          <cell r="E71">
            <v>2.407</v>
          </cell>
          <cell r="F71">
            <v>8.15</v>
          </cell>
          <cell r="G71">
            <v>7.02</v>
          </cell>
          <cell r="H71">
            <v>8048455918.1599998</v>
          </cell>
          <cell r="I71">
            <v>7.07</v>
          </cell>
          <cell r="J71">
            <v>852012673</v>
          </cell>
          <cell r="K71">
            <v>2.19</v>
          </cell>
          <cell r="L71">
            <v>57.18</v>
          </cell>
        </row>
        <row r="72">
          <cell r="A72">
            <v>26.494641619686462</v>
          </cell>
          <cell r="B72">
            <v>2.673</v>
          </cell>
          <cell r="C72">
            <v>37.97</v>
          </cell>
          <cell r="D72">
            <v>56.8</v>
          </cell>
          <cell r="E72">
            <v>2.4350000000000001</v>
          </cell>
          <cell r="F72">
            <v>8.4499999999999993</v>
          </cell>
          <cell r="G72">
            <v>7.05</v>
          </cell>
          <cell r="H72">
            <v>5637446363.8299999</v>
          </cell>
          <cell r="I72">
            <v>8.9700000000000006</v>
          </cell>
          <cell r="J72">
            <v>870452165</v>
          </cell>
          <cell r="K72">
            <v>2.16</v>
          </cell>
          <cell r="L72">
            <v>57.66</v>
          </cell>
        </row>
        <row r="73">
          <cell r="A73">
            <v>26.322077874962332</v>
          </cell>
          <cell r="B73">
            <v>2.3279999999999998</v>
          </cell>
          <cell r="C73">
            <v>37.770000000000003</v>
          </cell>
          <cell r="D73">
            <v>57.7</v>
          </cell>
          <cell r="E73">
            <v>2.556</v>
          </cell>
          <cell r="F73">
            <v>8.49</v>
          </cell>
          <cell r="G73">
            <v>8.49</v>
          </cell>
          <cell r="H73">
            <v>7615987475.1099997</v>
          </cell>
          <cell r="I73">
            <v>13.87</v>
          </cell>
          <cell r="J73">
            <v>888941756</v>
          </cell>
          <cell r="K73">
            <v>2.12</v>
          </cell>
          <cell r="L73">
            <v>58.15</v>
          </cell>
        </row>
        <row r="74">
          <cell r="A74">
            <v>26.386949771936749</v>
          </cell>
          <cell r="B74">
            <v>2.1760000000000002</v>
          </cell>
          <cell r="C74">
            <v>37.54</v>
          </cell>
          <cell r="D74">
            <v>58.59</v>
          </cell>
          <cell r="E74">
            <v>2.7810000000000001</v>
          </cell>
          <cell r="F74">
            <v>9.59</v>
          </cell>
          <cell r="G74">
            <v>8.84</v>
          </cell>
          <cell r="H74">
            <v>9538786025.1700001</v>
          </cell>
          <cell r="I74">
            <v>11.79</v>
          </cell>
          <cell r="J74">
            <v>907574049</v>
          </cell>
          <cell r="K74">
            <v>2.1</v>
          </cell>
          <cell r="L74">
            <v>58.63</v>
          </cell>
        </row>
        <row r="75">
          <cell r="A75">
            <v>26.35553807058356</v>
          </cell>
          <cell r="B75">
            <v>2.5110000000000001</v>
          </cell>
          <cell r="C75">
            <v>37.29</v>
          </cell>
          <cell r="D75">
            <v>59.44</v>
          </cell>
          <cell r="E75">
            <v>3.2629999999999999</v>
          </cell>
          <cell r="F75">
            <v>9.82</v>
          </cell>
          <cell r="G75">
            <v>9.83</v>
          </cell>
          <cell r="H75">
            <v>14674627089.940001</v>
          </cell>
          <cell r="I75">
            <v>6.33</v>
          </cell>
          <cell r="J75">
            <v>926351297</v>
          </cell>
          <cell r="K75">
            <v>2.0699999999999998</v>
          </cell>
          <cell r="L75">
            <v>59.12</v>
          </cell>
        </row>
        <row r="76">
          <cell r="A76">
            <v>26.514068416036146</v>
          </cell>
          <cell r="B76">
            <v>3.2120000000000002</v>
          </cell>
          <cell r="C76">
            <v>36.99</v>
          </cell>
          <cell r="D76">
            <v>60.3</v>
          </cell>
          <cell r="E76">
            <v>4.4130000000000003</v>
          </cell>
          <cell r="F76">
            <v>10.19</v>
          </cell>
          <cell r="G76">
            <v>9.89</v>
          </cell>
          <cell r="H76">
            <v>24220928468.82</v>
          </cell>
          <cell r="I76">
            <v>10.25</v>
          </cell>
          <cell r="J76">
            <v>945261958</v>
          </cell>
          <cell r="K76">
            <v>2.04</v>
          </cell>
          <cell r="L76">
            <v>59.59</v>
          </cell>
        </row>
        <row r="77">
          <cell r="A77">
            <v>26.610152763845043</v>
          </cell>
          <cell r="B77">
            <v>5.0209999999999999</v>
          </cell>
          <cell r="C77">
            <v>36.65</v>
          </cell>
          <cell r="D77">
            <v>61.15</v>
          </cell>
          <cell r="E77">
            <v>5.3979999999999997</v>
          </cell>
          <cell r="F77">
            <v>12.02</v>
          </cell>
          <cell r="G77">
            <v>10.84</v>
          </cell>
          <cell r="H77">
            <v>22864636916.099998</v>
          </cell>
          <cell r="I77">
            <v>10.220000000000001</v>
          </cell>
          <cell r="J77">
            <v>964279129</v>
          </cell>
          <cell r="K77">
            <v>2.0099999999999998</v>
          </cell>
          <cell r="L77">
            <v>60.06</v>
          </cell>
        </row>
        <row r="78">
          <cell r="A78">
            <v>26.696813466277504</v>
          </cell>
          <cell r="B78">
            <v>6.9009999999999998</v>
          </cell>
          <cell r="C78">
            <v>36.33</v>
          </cell>
          <cell r="D78">
            <v>62</v>
          </cell>
          <cell r="E78">
            <v>5.9989999999999997</v>
          </cell>
          <cell r="F78">
            <v>11.54</v>
          </cell>
          <cell r="G78">
            <v>10.39</v>
          </cell>
          <cell r="H78">
            <v>24889364657.41</v>
          </cell>
          <cell r="I78">
            <v>8.98</v>
          </cell>
          <cell r="J78">
            <v>983281218</v>
          </cell>
          <cell r="K78">
            <v>1.97</v>
          </cell>
          <cell r="L78">
            <v>60.53</v>
          </cell>
        </row>
        <row r="79">
          <cell r="A79">
            <v>26.753633147301262</v>
          </cell>
          <cell r="B79">
            <v>8.2289999999999992</v>
          </cell>
          <cell r="C79">
            <v>35.97</v>
          </cell>
          <cell r="D79">
            <v>62.85</v>
          </cell>
          <cell r="E79">
            <v>5.843</v>
          </cell>
          <cell r="F79">
            <v>11.93</v>
          </cell>
          <cell r="G79">
            <v>10.69</v>
          </cell>
          <cell r="H79">
            <v>28385372945.860001</v>
          </cell>
          <cell r="I79">
            <v>7.16</v>
          </cell>
          <cell r="J79">
            <v>1002335230</v>
          </cell>
          <cell r="K79">
            <v>1.94</v>
          </cell>
          <cell r="L79">
            <v>61</v>
          </cell>
        </row>
        <row r="80">
          <cell r="A80">
            <v>26.76673318575585</v>
          </cell>
          <cell r="B80">
            <v>6.7069999999999999</v>
          </cell>
          <cell r="C80">
            <v>35.57</v>
          </cell>
          <cell r="D80">
            <v>63.45</v>
          </cell>
          <cell r="E80">
            <v>5.7240000000000002</v>
          </cell>
          <cell r="F80">
            <v>12.68</v>
          </cell>
          <cell r="G80">
            <v>11.02</v>
          </cell>
          <cell r="H80">
            <v>30646563663.48</v>
          </cell>
          <cell r="I80">
            <v>13.23</v>
          </cell>
          <cell r="J80">
            <v>1021434576</v>
          </cell>
          <cell r="K80">
            <v>1.91</v>
          </cell>
          <cell r="L80">
            <v>61.47</v>
          </cell>
        </row>
        <row r="81">
          <cell r="A81">
            <v>26.851924722819589</v>
          </cell>
          <cell r="B81">
            <v>2.62</v>
          </cell>
          <cell r="C81">
            <v>35.159999999999997</v>
          </cell>
          <cell r="D81">
            <v>64.05</v>
          </cell>
          <cell r="E81">
            <v>5.7889999999999997</v>
          </cell>
          <cell r="F81">
            <v>13.36</v>
          </cell>
          <cell r="G81">
            <v>11.45</v>
          </cell>
          <cell r="H81">
            <v>36005295926.440002</v>
          </cell>
          <cell r="I81">
            <v>4.67</v>
          </cell>
          <cell r="J81">
            <v>1040500054</v>
          </cell>
          <cell r="K81">
            <v>1.87</v>
          </cell>
          <cell r="L81">
            <v>61.88</v>
          </cell>
        </row>
        <row r="82">
          <cell r="A82">
            <v>26.872577660034214</v>
          </cell>
          <cell r="B82">
            <v>6.3319999999999999</v>
          </cell>
          <cell r="C82">
            <v>34.729999999999997</v>
          </cell>
          <cell r="D82">
            <v>64.650000000000006</v>
          </cell>
          <cell r="E82">
            <v>5.8529999999999998</v>
          </cell>
          <cell r="F82">
            <v>13.9</v>
          </cell>
          <cell r="G82">
            <v>13</v>
          </cell>
          <cell r="H82">
            <v>41059061574.660004</v>
          </cell>
          <cell r="I82">
            <v>4.01</v>
          </cell>
          <cell r="J82">
            <v>1059633675</v>
          </cell>
          <cell r="K82">
            <v>1.84</v>
          </cell>
          <cell r="L82">
            <v>62.28</v>
          </cell>
        </row>
        <row r="83">
          <cell r="A83">
            <v>26.908323623040616</v>
          </cell>
          <cell r="B83">
            <v>8.2129999999999992</v>
          </cell>
          <cell r="C83">
            <v>34.36</v>
          </cell>
          <cell r="D83">
            <v>65.25</v>
          </cell>
          <cell r="E83">
            <v>5.7949999999999999</v>
          </cell>
          <cell r="F83">
            <v>13.43</v>
          </cell>
          <cell r="G83">
            <v>12.56</v>
          </cell>
          <cell r="H83">
            <v>49050841138.720001</v>
          </cell>
          <cell r="I83">
            <v>3.78</v>
          </cell>
          <cell r="J83">
            <v>1078970907</v>
          </cell>
          <cell r="K83">
            <v>1.82</v>
          </cell>
          <cell r="L83">
            <v>62.69</v>
          </cell>
        </row>
        <row r="84">
          <cell r="A84">
            <v>26.967312242720016</v>
          </cell>
          <cell r="B84">
            <v>8.7720000000000002</v>
          </cell>
          <cell r="C84">
            <v>33.97</v>
          </cell>
          <cell r="D84">
            <v>65.849999999999994</v>
          </cell>
          <cell r="E84">
            <v>5.65</v>
          </cell>
          <cell r="F84">
            <v>15.24</v>
          </cell>
          <cell r="G84">
            <v>14.26</v>
          </cell>
          <cell r="H84">
            <v>71607865093.699997</v>
          </cell>
          <cell r="I84">
            <v>4.3</v>
          </cell>
          <cell r="J84">
            <v>1098313039</v>
          </cell>
          <cell r="K84">
            <v>1.79</v>
          </cell>
          <cell r="L84">
            <v>63.09</v>
          </cell>
        </row>
        <row r="85">
          <cell r="A85">
            <v>27.132946000233598</v>
          </cell>
          <cell r="B85">
            <v>9.1880000000000006</v>
          </cell>
          <cell r="C85">
            <v>33.56</v>
          </cell>
          <cell r="D85">
            <v>66.42</v>
          </cell>
          <cell r="E85">
            <v>5.6440000000000001</v>
          </cell>
          <cell r="F85">
            <v>15.64</v>
          </cell>
          <cell r="G85">
            <v>14.95</v>
          </cell>
          <cell r="H85">
            <v>103737208055.97</v>
          </cell>
          <cell r="I85">
            <v>3.81</v>
          </cell>
          <cell r="J85">
            <v>1117415123</v>
          </cell>
          <cell r="K85">
            <v>1.74</v>
          </cell>
          <cell r="L85">
            <v>63.5</v>
          </cell>
        </row>
        <row r="86">
          <cell r="A86">
            <v>27.287330812353115</v>
          </cell>
          <cell r="B86">
            <v>13.452</v>
          </cell>
          <cell r="C86">
            <v>33.15</v>
          </cell>
          <cell r="D86">
            <v>66.989999999999995</v>
          </cell>
          <cell r="E86">
            <v>4.7249999999999996</v>
          </cell>
          <cell r="F86">
            <v>19.64</v>
          </cell>
          <cell r="G86">
            <v>17.86</v>
          </cell>
          <cell r="H86">
            <v>131631143125.85001</v>
          </cell>
          <cell r="I86">
            <v>3.77</v>
          </cell>
          <cell r="J86">
            <v>1136264583</v>
          </cell>
          <cell r="K86">
            <v>1.69</v>
          </cell>
          <cell r="L86">
            <v>63.91</v>
          </cell>
        </row>
        <row r="87">
          <cell r="A87">
            <v>27.433035429339736</v>
          </cell>
          <cell r="B87">
            <v>19.661000000000001</v>
          </cell>
          <cell r="C87">
            <v>32.74</v>
          </cell>
          <cell r="D87">
            <v>67.56</v>
          </cell>
          <cell r="E87">
            <v>4.7629999999999999</v>
          </cell>
          <cell r="F87">
            <v>22.4</v>
          </cell>
          <cell r="G87">
            <v>19.61</v>
          </cell>
          <cell r="H87">
            <v>137824828256.29001</v>
          </cell>
          <cell r="I87">
            <v>4.25</v>
          </cell>
          <cell r="J87">
            <v>1154638713</v>
          </cell>
          <cell r="K87">
            <v>1.62</v>
          </cell>
          <cell r="L87">
            <v>64.31</v>
          </cell>
        </row>
        <row r="88">
          <cell r="A88">
            <v>27.569422151436065</v>
          </cell>
          <cell r="B88">
            <v>23.242000000000001</v>
          </cell>
          <cell r="C88">
            <v>32.380000000000003</v>
          </cell>
          <cell r="D88">
            <v>68.14</v>
          </cell>
          <cell r="E88">
            <v>4.7960000000000003</v>
          </cell>
          <cell r="F88">
            <v>24.46</v>
          </cell>
          <cell r="G88">
            <v>21.27</v>
          </cell>
          <cell r="H88">
            <v>178049790065.97</v>
          </cell>
          <cell r="I88">
            <v>5.8</v>
          </cell>
          <cell r="J88">
            <v>1172373788</v>
          </cell>
          <cell r="K88">
            <v>1.54</v>
          </cell>
          <cell r="L88">
            <v>64.72</v>
          </cell>
        </row>
        <row r="89">
          <cell r="A89">
            <v>27.827192520537938</v>
          </cell>
          <cell r="B89">
            <v>28.922000000000001</v>
          </cell>
          <cell r="C89">
            <v>32.01</v>
          </cell>
          <cell r="D89">
            <v>68.709999999999994</v>
          </cell>
          <cell r="E89">
            <v>4.8869999999999996</v>
          </cell>
          <cell r="F89">
            <v>24.89</v>
          </cell>
          <cell r="G89">
            <v>20.8</v>
          </cell>
          <cell r="H89">
            <v>276578100117.40997</v>
          </cell>
          <cell r="I89">
            <v>6.37</v>
          </cell>
          <cell r="J89">
            <v>1189691809</v>
          </cell>
          <cell r="K89">
            <v>1.48</v>
          </cell>
          <cell r="L89">
            <v>65.12</v>
          </cell>
        </row>
        <row r="90">
          <cell r="A90">
            <v>27.812421900723301</v>
          </cell>
          <cell r="B90">
            <v>30.387</v>
          </cell>
          <cell r="C90">
            <v>31.64</v>
          </cell>
          <cell r="D90">
            <v>69.41</v>
          </cell>
          <cell r="E90">
            <v>4.9210000000000003</v>
          </cell>
          <cell r="F90">
            <v>29.27</v>
          </cell>
          <cell r="G90">
            <v>24.1</v>
          </cell>
          <cell r="H90">
            <v>257422725614.88</v>
          </cell>
          <cell r="I90">
            <v>8.35</v>
          </cell>
          <cell r="J90">
            <v>1206734806</v>
          </cell>
          <cell r="K90">
            <v>1.43</v>
          </cell>
          <cell r="L90">
            <v>65.53</v>
          </cell>
        </row>
        <row r="91">
          <cell r="A91">
            <v>27.92509765224813</v>
          </cell>
          <cell r="B91">
            <v>27.024999999999999</v>
          </cell>
          <cell r="C91">
            <v>31.24</v>
          </cell>
          <cell r="D91">
            <v>70.11</v>
          </cell>
          <cell r="E91">
            <v>4.9550000000000001</v>
          </cell>
          <cell r="F91">
            <v>25.87</v>
          </cell>
          <cell r="G91">
            <v>20.399999999999999</v>
          </cell>
          <cell r="H91">
            <v>284682887897.59003</v>
          </cell>
          <cell r="I91">
            <v>10.88</v>
          </cell>
          <cell r="J91">
            <v>1223640160</v>
          </cell>
          <cell r="K91">
            <v>1.4</v>
          </cell>
          <cell r="L91">
            <v>65.98</v>
          </cell>
        </row>
        <row r="92">
          <cell r="A92">
            <v>28.147201578281397</v>
          </cell>
          <cell r="B92">
            <v>30.908999999999999</v>
          </cell>
          <cell r="C92">
            <v>30.81</v>
          </cell>
          <cell r="D92">
            <v>70.8</v>
          </cell>
          <cell r="E92">
            <v>5.0339999999999998</v>
          </cell>
          <cell r="F92">
            <v>26.85</v>
          </cell>
          <cell r="G92">
            <v>22.4</v>
          </cell>
          <cell r="H92">
            <v>300480168786.34998</v>
          </cell>
          <cell r="I92">
            <v>11.99</v>
          </cell>
          <cell r="J92">
            <v>1240613620</v>
          </cell>
          <cell r="K92">
            <v>1.39</v>
          </cell>
          <cell r="L92">
            <v>66.430000000000007</v>
          </cell>
        </row>
        <row r="93">
          <cell r="A93">
            <v>28.231531998946945</v>
          </cell>
          <cell r="B93">
            <v>33.450000000000003</v>
          </cell>
          <cell r="C93">
            <v>30.4</v>
          </cell>
          <cell r="D93">
            <v>71.5</v>
          </cell>
          <cell r="E93">
            <v>5.1120000000000001</v>
          </cell>
          <cell r="F93">
            <v>31.08</v>
          </cell>
          <cell r="G93">
            <v>24.54</v>
          </cell>
          <cell r="H93">
            <v>298739463090.87</v>
          </cell>
          <cell r="I93">
            <v>8.91</v>
          </cell>
          <cell r="J93">
            <v>1257621191</v>
          </cell>
          <cell r="K93">
            <v>1.37</v>
          </cell>
          <cell r="L93">
            <v>66.87</v>
          </cell>
        </row>
        <row r="94">
          <cell r="A94">
            <v>28.234045461640768</v>
          </cell>
          <cell r="B94">
            <v>34.402000000000001</v>
          </cell>
          <cell r="C94">
            <v>29.93</v>
          </cell>
          <cell r="D94">
            <v>72.2</v>
          </cell>
          <cell r="E94">
            <v>5.1909999999999998</v>
          </cell>
          <cell r="F94">
            <v>31.26</v>
          </cell>
          <cell r="G94">
            <v>24.53</v>
          </cell>
          <cell r="H94">
            <v>300425517446.54999</v>
          </cell>
          <cell r="I94">
            <v>9.48</v>
          </cell>
          <cell r="J94">
            <v>1274487215</v>
          </cell>
          <cell r="K94">
            <v>1.34</v>
          </cell>
          <cell r="L94">
            <v>67.319999999999993</v>
          </cell>
        </row>
        <row r="95">
          <cell r="A95">
            <v>28.249833748650111</v>
          </cell>
          <cell r="B95">
            <v>32.362000000000002</v>
          </cell>
          <cell r="C95">
            <v>29.43</v>
          </cell>
          <cell r="D95">
            <v>72.599999999999994</v>
          </cell>
          <cell r="E95">
            <v>5.2939999999999996</v>
          </cell>
          <cell r="F95">
            <v>28.41</v>
          </cell>
          <cell r="G95">
            <v>25.43</v>
          </cell>
          <cell r="H95">
            <v>298092478740.58002</v>
          </cell>
          <cell r="I95">
            <v>10.02</v>
          </cell>
          <cell r="J95">
            <v>1291132063</v>
          </cell>
          <cell r="K95">
            <v>1.31</v>
          </cell>
          <cell r="L95">
            <v>67.77</v>
          </cell>
        </row>
        <row r="96">
          <cell r="A96">
            <v>28.343543109882685</v>
          </cell>
          <cell r="B96">
            <v>30.814</v>
          </cell>
          <cell r="C96">
            <v>28.93</v>
          </cell>
          <cell r="D96">
            <v>73</v>
          </cell>
          <cell r="E96">
            <v>5.5410000000000004</v>
          </cell>
          <cell r="F96">
            <v>25.95</v>
          </cell>
          <cell r="G96">
            <v>22.97</v>
          </cell>
          <cell r="H96">
            <v>325081035127.89001</v>
          </cell>
          <cell r="I96">
            <v>6.67</v>
          </cell>
          <cell r="J96">
            <v>1307246509</v>
          </cell>
          <cell r="K96">
            <v>1.25</v>
          </cell>
          <cell r="L96">
            <v>68.069999999999993</v>
          </cell>
        </row>
        <row r="97">
          <cell r="A97">
            <v>28.374665485629396</v>
          </cell>
          <cell r="B97">
            <v>33.079000000000001</v>
          </cell>
          <cell r="C97">
            <v>28.44</v>
          </cell>
          <cell r="D97">
            <v>73.41</v>
          </cell>
          <cell r="E97">
            <v>5.835</v>
          </cell>
          <cell r="F97">
            <v>22.11</v>
          </cell>
          <cell r="G97">
            <v>19.809999999999999</v>
          </cell>
          <cell r="H97">
            <v>353319061013.21997</v>
          </cell>
          <cell r="I97">
            <v>4.91</v>
          </cell>
          <cell r="J97">
            <v>1322866505</v>
          </cell>
          <cell r="K97">
            <v>1.19</v>
          </cell>
          <cell r="L97">
            <v>68.37</v>
          </cell>
        </row>
        <row r="98">
          <cell r="A98">
            <v>28.461665929644546</v>
          </cell>
          <cell r="B98">
            <v>31.858000000000001</v>
          </cell>
          <cell r="C98">
            <v>27.93</v>
          </cell>
          <cell r="D98">
            <v>73.81</v>
          </cell>
          <cell r="E98">
            <v>5.82</v>
          </cell>
          <cell r="F98">
            <v>20.92</v>
          </cell>
          <cell r="G98">
            <v>19.16</v>
          </cell>
          <cell r="H98">
            <v>361694321972.03998</v>
          </cell>
          <cell r="I98">
            <v>4.95</v>
          </cell>
          <cell r="J98">
            <v>1338636340</v>
          </cell>
          <cell r="K98">
            <v>1.19</v>
          </cell>
          <cell r="L98">
            <v>68.67</v>
          </cell>
        </row>
        <row r="99">
          <cell r="A99">
            <v>28.606136430331777</v>
          </cell>
          <cell r="B99">
            <v>31.620999999999999</v>
          </cell>
          <cell r="C99">
            <v>27.48</v>
          </cell>
          <cell r="D99">
            <v>74.209999999999994</v>
          </cell>
          <cell r="E99">
            <v>5.6150000000000002</v>
          </cell>
          <cell r="F99">
            <v>21.95</v>
          </cell>
          <cell r="G99">
            <v>18.79</v>
          </cell>
          <cell r="H99">
            <v>412613792019.91998</v>
          </cell>
          <cell r="I99">
            <v>3.33</v>
          </cell>
          <cell r="J99">
            <v>1354195680</v>
          </cell>
          <cell r="K99">
            <v>1.1599999999999999</v>
          </cell>
          <cell r="L99">
            <v>68.97</v>
          </cell>
        </row>
        <row r="100">
          <cell r="A100">
            <v>28.625357381760317</v>
          </cell>
          <cell r="B100">
            <v>33.765999999999998</v>
          </cell>
          <cell r="C100">
            <v>27.05</v>
          </cell>
          <cell r="D100">
            <v>74.59</v>
          </cell>
          <cell r="E100">
            <v>5.0650000000000004</v>
          </cell>
          <cell r="F100">
            <v>23.69</v>
          </cell>
          <cell r="G100">
            <v>19.93</v>
          </cell>
          <cell r="H100">
            <v>399167159226.67999</v>
          </cell>
          <cell r="I100">
            <v>3.94</v>
          </cell>
          <cell r="J100">
            <v>1369003306</v>
          </cell>
          <cell r="K100">
            <v>1.0900000000000001</v>
          </cell>
          <cell r="L100">
            <v>69.27</v>
          </cell>
        </row>
        <row r="101">
          <cell r="A101">
            <v>28.671846165741808</v>
          </cell>
          <cell r="B101">
            <v>34.173000000000002</v>
          </cell>
          <cell r="C101">
            <v>26.62</v>
          </cell>
          <cell r="D101">
            <v>74.98</v>
          </cell>
          <cell r="E101">
            <v>5.2149999999999999</v>
          </cell>
          <cell r="F101">
            <v>21.27</v>
          </cell>
          <cell r="G101">
            <v>18.690000000000001</v>
          </cell>
          <cell r="H101">
            <v>463469902152.51001</v>
          </cell>
          <cell r="I101">
            <v>3.73</v>
          </cell>
          <cell r="J101">
            <v>1383112050</v>
          </cell>
          <cell r="K101">
            <v>1.03</v>
          </cell>
          <cell r="L101">
            <v>69.5</v>
          </cell>
        </row>
        <row r="102">
          <cell r="A102">
            <v>28.612233277545126</v>
          </cell>
          <cell r="B102">
            <v>33.630000000000003</v>
          </cell>
          <cell r="C102">
            <v>26.16</v>
          </cell>
          <cell r="D102">
            <v>75.37</v>
          </cell>
          <cell r="E102">
            <v>5.2149999999999999</v>
          </cell>
          <cell r="F102">
            <v>19.100000000000001</v>
          </cell>
          <cell r="G102">
            <v>18.71</v>
          </cell>
          <cell r="H102">
            <v>590227359928.90002</v>
          </cell>
          <cell r="I102">
            <v>6.62</v>
          </cell>
          <cell r="J102">
            <v>1396387127</v>
          </cell>
          <cell r="K102">
            <v>0.96</v>
          </cell>
          <cell r="L102">
            <v>69.73</v>
          </cell>
        </row>
        <row r="112">
          <cell r="U112">
            <v>26.052151353144893</v>
          </cell>
        </row>
        <row r="113">
          <cell r="U113">
            <v>26.116452536500574</v>
          </cell>
        </row>
        <row r="114">
          <cell r="U114">
            <v>26.230676243037088</v>
          </cell>
        </row>
        <row r="115">
          <cell r="U115">
            <v>26.321082319216206</v>
          </cell>
        </row>
        <row r="116">
          <cell r="U116">
            <v>26.377859936020641</v>
          </cell>
        </row>
        <row r="117">
          <cell r="U117">
            <v>26.338382695750816</v>
          </cell>
        </row>
        <row r="118">
          <cell r="U118">
            <v>26.343021934604721</v>
          </cell>
        </row>
        <row r="119">
          <cell r="U119">
            <v>26.390751428666597</v>
          </cell>
        </row>
        <row r="120">
          <cell r="U120">
            <v>26.361974740138024</v>
          </cell>
        </row>
        <row r="121">
          <cell r="U121">
            <v>26.411000291890929</v>
          </cell>
        </row>
        <row r="122">
          <cell r="U122">
            <v>26.396646428336258</v>
          </cell>
        </row>
        <row r="123">
          <cell r="U123">
            <v>26.500226010951447</v>
          </cell>
        </row>
        <row r="124">
          <cell r="U124">
            <v>26.603184768835614</v>
          </cell>
        </row>
        <row r="125">
          <cell r="U125">
            <v>26.673552579656459</v>
          </cell>
        </row>
        <row r="126">
          <cell r="U126">
            <v>26.719975629014563</v>
          </cell>
        </row>
        <row r="127">
          <cell r="U127">
            <v>26.838388540192202</v>
          </cell>
        </row>
        <row r="128">
          <cell r="U128">
            <v>26.779516432918228</v>
          </cell>
        </row>
        <row r="129">
          <cell r="U129">
            <v>26.855355530887902</v>
          </cell>
        </row>
        <row r="130">
          <cell r="U130">
            <v>26.980125627746968</v>
          </cell>
        </row>
        <row r="131">
          <cell r="U131">
            <v>27.051992137451894</v>
          </cell>
        </row>
        <row r="132">
          <cell r="U132">
            <v>27.118806227177256</v>
          </cell>
        </row>
        <row r="133">
          <cell r="U133">
            <v>27.263000281973127</v>
          </cell>
        </row>
        <row r="134">
          <cell r="U134">
            <v>27.439712500839157</v>
          </cell>
        </row>
        <row r="135">
          <cell r="U135">
            <v>27.56519320532044</v>
          </cell>
        </row>
        <row r="136">
          <cell r="U136">
            <v>27.829280297471669</v>
          </cell>
        </row>
        <row r="137">
          <cell r="U137">
            <v>27.869624185277125</v>
          </cell>
        </row>
        <row r="138">
          <cell r="U138">
            <v>27.962113222763776</v>
          </cell>
        </row>
        <row r="139">
          <cell r="U139">
            <v>28.063838800384449</v>
          </cell>
        </row>
        <row r="140">
          <cell r="U140">
            <v>28.20403017245285</v>
          </cell>
        </row>
        <row r="141">
          <cell r="U141">
            <v>28.292138505894876</v>
          </cell>
        </row>
        <row r="142">
          <cell r="U142">
            <v>28.237902485659035</v>
          </cell>
        </row>
        <row r="143">
          <cell r="U143">
            <v>28.281149600174317</v>
          </cell>
        </row>
        <row r="144">
          <cell r="U144">
            <v>28.388829969641428</v>
          </cell>
        </row>
        <row r="145">
          <cell r="U145">
            <v>28.444673785069391</v>
          </cell>
        </row>
        <row r="146">
          <cell r="U146">
            <v>28.578841027504652</v>
          </cell>
        </row>
        <row r="147">
          <cell r="U147">
            <v>28.639118324468928</v>
          </cell>
        </row>
        <row r="148">
          <cell r="U148">
            <v>28.660219888680015</v>
          </cell>
        </row>
        <row r="149">
          <cell r="U149">
            <v>28.651874590084741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ndexmundi.com/facts/india/patent-applications" TargetMode="External"/><Relationship Id="rId1" Type="http://schemas.openxmlformats.org/officeDocument/2006/relationships/hyperlink" Target="https://www.kaggle.com/datasets/nejilee/indian-economy-from-1960-to-202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zoomScaleNormal="100" workbookViewId="0">
      <selection activeCell="H1" sqref="H1"/>
    </sheetView>
  </sheetViews>
  <sheetFormatPr defaultRowHeight="14.5" x14ac:dyDescent="0.35"/>
  <cols>
    <col min="6" max="6" width="20.81640625" customWidth="1"/>
    <col min="8" max="8" width="39.1796875" bestFit="1" customWidth="1"/>
    <col min="9" max="9" width="37.08984375" bestFit="1" customWidth="1"/>
    <col min="10" max="10" width="16.6328125" bestFit="1" customWidth="1"/>
    <col min="11" max="11" width="28.90625" bestFit="1" customWidth="1"/>
  </cols>
  <sheetData>
    <row r="1" spans="1:13" ht="51" customHeight="1" thickBot="1" x14ac:dyDescent="0.4">
      <c r="A1" s="39" t="s">
        <v>0</v>
      </c>
      <c r="B1" s="40"/>
      <c r="C1" s="40"/>
      <c r="D1" s="40"/>
      <c r="E1" s="40"/>
      <c r="F1" s="41"/>
    </row>
    <row r="2" spans="1:13" ht="15" customHeight="1" x14ac:dyDescent="0.35">
      <c r="A2" s="38" t="s">
        <v>269</v>
      </c>
    </row>
    <row r="3" spans="1:13" ht="15" customHeight="1" x14ac:dyDescent="0.35">
      <c r="A3" s="38" t="s">
        <v>270</v>
      </c>
    </row>
    <row r="4" spans="1:13" ht="15" customHeight="1" thickBot="1" x14ac:dyDescent="0.4">
      <c r="A4" t="s">
        <v>60</v>
      </c>
      <c r="B4" t="s">
        <v>61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</row>
    <row r="5" spans="1:13" ht="15" customHeight="1" thickBot="1" x14ac:dyDescent="0.4">
      <c r="A5" s="23">
        <v>26.108963265626635</v>
      </c>
      <c r="B5" s="24">
        <v>1.948</v>
      </c>
      <c r="C5" s="25">
        <v>39.020000000000003</v>
      </c>
      <c r="D5" s="25">
        <v>52.1</v>
      </c>
      <c r="E5" s="25">
        <v>1.151</v>
      </c>
      <c r="F5">
        <v>7.85</v>
      </c>
      <c r="G5">
        <v>5.84</v>
      </c>
      <c r="H5">
        <v>8215732398.9700003</v>
      </c>
      <c r="I5">
        <v>11.87</v>
      </c>
      <c r="J5">
        <v>745826546</v>
      </c>
      <c r="K5">
        <v>2.2799999999999998</v>
      </c>
      <c r="L5">
        <v>54.91</v>
      </c>
      <c r="M5">
        <v>1983</v>
      </c>
    </row>
    <row r="6" spans="1:13" ht="15" thickBot="1" x14ac:dyDescent="0.4">
      <c r="A6" s="23">
        <v>26.080598220791387</v>
      </c>
      <c r="B6" s="24">
        <v>2.2909999999999999</v>
      </c>
      <c r="C6" s="25">
        <v>38.909999999999997</v>
      </c>
      <c r="D6" s="25">
        <v>52.6</v>
      </c>
      <c r="E6" s="25">
        <v>1.2949999999999999</v>
      </c>
      <c r="F6">
        <v>7.73</v>
      </c>
      <c r="G6">
        <v>6.28</v>
      </c>
      <c r="H6">
        <v>8535944481.1999998</v>
      </c>
      <c r="I6">
        <v>8.32</v>
      </c>
      <c r="J6">
        <v>762895156</v>
      </c>
      <c r="K6">
        <v>2.29</v>
      </c>
      <c r="L6">
        <v>55.27</v>
      </c>
      <c r="M6">
        <v>1984</v>
      </c>
    </row>
    <row r="7" spans="1:13" ht="15" thickBot="1" x14ac:dyDescent="0.4">
      <c r="A7" s="23">
        <v>26.172207148160084</v>
      </c>
      <c r="B7" s="24">
        <v>2.4929999999999999</v>
      </c>
      <c r="C7" s="25">
        <v>38.75</v>
      </c>
      <c r="D7" s="25">
        <v>53.11</v>
      </c>
      <c r="E7" s="25">
        <v>1.5289999999999999</v>
      </c>
      <c r="F7">
        <v>7.65</v>
      </c>
      <c r="G7">
        <v>5.25</v>
      </c>
      <c r="H7">
        <v>9493102974.0200005</v>
      </c>
      <c r="I7">
        <v>5.56</v>
      </c>
      <c r="J7">
        <v>780242084</v>
      </c>
      <c r="K7">
        <v>2.27</v>
      </c>
      <c r="L7">
        <v>55.62</v>
      </c>
      <c r="M7">
        <v>1985</v>
      </c>
    </row>
    <row r="8" spans="1:13" ht="15" thickBot="1" x14ac:dyDescent="0.4">
      <c r="A8" s="23">
        <v>26.240662482996122</v>
      </c>
      <c r="B8" s="24">
        <v>2.4969999999999999</v>
      </c>
      <c r="C8" s="25">
        <v>38.71</v>
      </c>
      <c r="D8" s="25">
        <v>53.62</v>
      </c>
      <c r="E8" s="25">
        <v>1.911</v>
      </c>
      <c r="F8">
        <v>7.02</v>
      </c>
      <c r="G8">
        <v>5.2</v>
      </c>
      <c r="H8">
        <v>10480102587.559999</v>
      </c>
      <c r="I8">
        <v>8.73</v>
      </c>
      <c r="J8">
        <v>797878993</v>
      </c>
      <c r="K8">
        <v>2.2599999999999998</v>
      </c>
      <c r="L8">
        <v>55.98</v>
      </c>
      <c r="M8">
        <v>1986</v>
      </c>
    </row>
    <row r="9" spans="1:13" ht="15" thickBot="1" x14ac:dyDescent="0.4">
      <c r="A9" s="23">
        <v>26.35459798461391</v>
      </c>
      <c r="B9" s="24">
        <v>2.52</v>
      </c>
      <c r="C9" s="25">
        <v>38.58</v>
      </c>
      <c r="D9" s="25">
        <v>54.12</v>
      </c>
      <c r="E9" s="25">
        <v>2.0950000000000002</v>
      </c>
      <c r="F9">
        <v>6.98</v>
      </c>
      <c r="G9">
        <v>5.6</v>
      </c>
      <c r="H9">
        <v>11511740598.809999</v>
      </c>
      <c r="I9">
        <v>8.8000000000000007</v>
      </c>
      <c r="J9">
        <v>815716125</v>
      </c>
      <c r="K9">
        <v>2.2400000000000002</v>
      </c>
      <c r="L9">
        <v>56.33</v>
      </c>
      <c r="M9">
        <v>1987</v>
      </c>
    </row>
    <row r="10" spans="1:13" ht="15" thickBot="1" x14ac:dyDescent="0.4">
      <c r="A10" s="23">
        <v>26.415613161485624</v>
      </c>
      <c r="B10" s="24">
        <v>2.504</v>
      </c>
      <c r="C10" s="25">
        <v>38.4</v>
      </c>
      <c r="D10" s="25">
        <v>55.02</v>
      </c>
      <c r="E10" s="25">
        <v>2.2400000000000002</v>
      </c>
      <c r="F10">
        <v>7.46</v>
      </c>
      <c r="G10">
        <v>6.04</v>
      </c>
      <c r="H10">
        <v>9185839446.5400009</v>
      </c>
      <c r="I10">
        <v>9.3800000000000008</v>
      </c>
      <c r="J10">
        <v>833729681</v>
      </c>
      <c r="K10">
        <v>2.21</v>
      </c>
      <c r="L10">
        <v>56.69</v>
      </c>
      <c r="M10">
        <v>1988</v>
      </c>
    </row>
    <row r="11" spans="1:13" ht="15" customHeight="1" thickBot="1" x14ac:dyDescent="0.4">
      <c r="A11" s="23">
        <v>26.413768372199044</v>
      </c>
      <c r="B11" s="24">
        <v>2.6</v>
      </c>
      <c r="C11" s="25">
        <v>38.19</v>
      </c>
      <c r="D11" s="25">
        <v>55.91</v>
      </c>
      <c r="E11" s="25">
        <v>2.407</v>
      </c>
      <c r="F11">
        <v>8.15</v>
      </c>
      <c r="G11">
        <v>7.02</v>
      </c>
      <c r="H11">
        <v>8048455918.1599998</v>
      </c>
      <c r="I11">
        <v>7.07</v>
      </c>
      <c r="J11">
        <v>852012673</v>
      </c>
      <c r="K11">
        <v>2.19</v>
      </c>
      <c r="L11">
        <v>57.18</v>
      </c>
      <c r="M11">
        <v>1989</v>
      </c>
    </row>
    <row r="12" spans="1:13" ht="15" thickBot="1" x14ac:dyDescent="0.4">
      <c r="A12" s="23">
        <v>26.494641619686462</v>
      </c>
      <c r="B12" s="24">
        <v>2.673</v>
      </c>
      <c r="C12" s="25">
        <v>37.97</v>
      </c>
      <c r="D12" s="25">
        <v>56.8</v>
      </c>
      <c r="E12" s="25">
        <v>2.4350000000000001</v>
      </c>
      <c r="F12">
        <v>8.4499999999999993</v>
      </c>
      <c r="G12">
        <v>7.05</v>
      </c>
      <c r="H12">
        <v>5637446363.8299999</v>
      </c>
      <c r="I12">
        <v>8.9700000000000006</v>
      </c>
      <c r="J12">
        <v>870452165</v>
      </c>
      <c r="K12">
        <v>2.16</v>
      </c>
      <c r="L12">
        <v>57.66</v>
      </c>
      <c r="M12">
        <v>1990</v>
      </c>
    </row>
    <row r="13" spans="1:13" ht="18.75" customHeight="1" thickBot="1" x14ac:dyDescent="0.4">
      <c r="A13" s="23">
        <v>26.322077874962332</v>
      </c>
      <c r="B13" s="24">
        <v>2.3279999999999998</v>
      </c>
      <c r="C13" s="25">
        <v>37.770000000000003</v>
      </c>
      <c r="D13" s="25">
        <v>57.7</v>
      </c>
      <c r="E13" s="25">
        <v>2.556</v>
      </c>
      <c r="F13">
        <v>8.49</v>
      </c>
      <c r="G13">
        <v>8.49</v>
      </c>
      <c r="H13">
        <v>7615987475.1099997</v>
      </c>
      <c r="I13">
        <v>13.87</v>
      </c>
      <c r="J13">
        <v>888941756</v>
      </c>
      <c r="K13">
        <v>2.12</v>
      </c>
      <c r="L13">
        <v>58.15</v>
      </c>
      <c r="M13">
        <v>1991</v>
      </c>
    </row>
    <row r="14" spans="1:13" ht="18" customHeight="1" thickBot="1" x14ac:dyDescent="0.4">
      <c r="A14" s="23">
        <v>26.386949771936749</v>
      </c>
      <c r="B14" s="24">
        <v>2.1760000000000002</v>
      </c>
      <c r="C14" s="25">
        <v>37.54</v>
      </c>
      <c r="D14" s="25">
        <v>58.59</v>
      </c>
      <c r="E14" s="25">
        <v>2.7810000000000001</v>
      </c>
      <c r="F14">
        <v>9.59</v>
      </c>
      <c r="G14">
        <v>8.84</v>
      </c>
      <c r="H14">
        <v>9538786025.1700001</v>
      </c>
      <c r="I14">
        <v>11.79</v>
      </c>
      <c r="J14">
        <v>907574049</v>
      </c>
      <c r="K14">
        <v>2.1</v>
      </c>
      <c r="L14">
        <v>58.63</v>
      </c>
      <c r="M14">
        <v>1992</v>
      </c>
    </row>
    <row r="15" spans="1:13" ht="15" thickBot="1" x14ac:dyDescent="0.4">
      <c r="A15" s="23">
        <v>26.35553807058356</v>
      </c>
      <c r="B15" s="24">
        <v>2.5110000000000001</v>
      </c>
      <c r="C15" s="25">
        <v>37.29</v>
      </c>
      <c r="D15" s="25">
        <v>59.44</v>
      </c>
      <c r="E15" s="25">
        <v>3.2629999999999999</v>
      </c>
      <c r="F15">
        <v>9.82</v>
      </c>
      <c r="G15">
        <v>9.83</v>
      </c>
      <c r="H15">
        <v>14674627089.940001</v>
      </c>
      <c r="I15">
        <v>6.33</v>
      </c>
      <c r="J15">
        <v>926351297</v>
      </c>
      <c r="K15">
        <v>2.0699999999999998</v>
      </c>
      <c r="L15">
        <v>59.12</v>
      </c>
      <c r="M15">
        <v>1993</v>
      </c>
    </row>
    <row r="16" spans="1:13" ht="15" thickBot="1" x14ac:dyDescent="0.4">
      <c r="A16" s="23">
        <v>26.514068416036146</v>
      </c>
      <c r="B16" s="24">
        <v>3.2120000000000002</v>
      </c>
      <c r="C16" s="25">
        <v>36.99</v>
      </c>
      <c r="D16" s="25">
        <v>60.3</v>
      </c>
      <c r="E16" s="25">
        <v>4.4130000000000003</v>
      </c>
      <c r="F16">
        <v>10.19</v>
      </c>
      <c r="G16">
        <v>9.89</v>
      </c>
      <c r="H16">
        <v>24220928468.82</v>
      </c>
      <c r="I16">
        <v>10.25</v>
      </c>
      <c r="J16">
        <v>945261958</v>
      </c>
      <c r="K16">
        <v>2.04</v>
      </c>
      <c r="L16">
        <v>59.59</v>
      </c>
      <c r="M16">
        <v>1994</v>
      </c>
    </row>
    <row r="17" spans="1:13" ht="15" thickBot="1" x14ac:dyDescent="0.4">
      <c r="A17" s="23">
        <v>26.610152763845043</v>
      </c>
      <c r="B17" s="24">
        <v>5.0209999999999999</v>
      </c>
      <c r="C17" s="25">
        <v>36.65</v>
      </c>
      <c r="D17" s="25">
        <v>61.15</v>
      </c>
      <c r="E17" s="25">
        <v>5.3979999999999997</v>
      </c>
      <c r="F17">
        <v>12.02</v>
      </c>
      <c r="G17">
        <v>10.84</v>
      </c>
      <c r="H17">
        <v>22864636916.099998</v>
      </c>
      <c r="I17">
        <v>10.220000000000001</v>
      </c>
      <c r="J17">
        <v>964279129</v>
      </c>
      <c r="K17">
        <v>2.0099999999999998</v>
      </c>
      <c r="L17">
        <v>60.06</v>
      </c>
      <c r="M17">
        <v>1995</v>
      </c>
    </row>
    <row r="18" spans="1:13" ht="15" thickBot="1" x14ac:dyDescent="0.4">
      <c r="A18" s="23">
        <v>26.696813466277504</v>
      </c>
      <c r="B18" s="24">
        <v>6.9009999999999998</v>
      </c>
      <c r="C18" s="25">
        <v>36.33</v>
      </c>
      <c r="D18" s="25">
        <v>62</v>
      </c>
      <c r="E18" s="25">
        <v>5.9989999999999997</v>
      </c>
      <c r="F18">
        <v>11.54</v>
      </c>
      <c r="G18">
        <v>10.39</v>
      </c>
      <c r="H18">
        <v>24889364657.41</v>
      </c>
      <c r="I18">
        <v>8.98</v>
      </c>
      <c r="J18">
        <v>983281218</v>
      </c>
      <c r="K18">
        <v>1.97</v>
      </c>
      <c r="L18">
        <v>60.53</v>
      </c>
      <c r="M18">
        <v>1996</v>
      </c>
    </row>
    <row r="19" spans="1:13" ht="15" thickBot="1" x14ac:dyDescent="0.4">
      <c r="A19" s="23">
        <v>26.753633147301262</v>
      </c>
      <c r="B19" s="24">
        <v>8.2289999999999992</v>
      </c>
      <c r="C19" s="25">
        <v>35.97</v>
      </c>
      <c r="D19" s="25">
        <v>62.85</v>
      </c>
      <c r="E19" s="25">
        <v>5.843</v>
      </c>
      <c r="F19">
        <v>11.93</v>
      </c>
      <c r="G19">
        <v>10.69</v>
      </c>
      <c r="H19">
        <v>28385372945.860001</v>
      </c>
      <c r="I19">
        <v>7.16</v>
      </c>
      <c r="J19">
        <v>1002335230</v>
      </c>
      <c r="K19">
        <v>1.94</v>
      </c>
      <c r="L19">
        <v>61</v>
      </c>
      <c r="M19">
        <v>1997</v>
      </c>
    </row>
    <row r="20" spans="1:13" ht="15" thickBot="1" x14ac:dyDescent="0.4">
      <c r="A20" s="23">
        <v>26.76673318575585</v>
      </c>
      <c r="B20" s="24">
        <v>6.7069999999999999</v>
      </c>
      <c r="C20" s="25">
        <v>35.57</v>
      </c>
      <c r="D20" s="25">
        <v>63.45</v>
      </c>
      <c r="E20" s="25">
        <v>5.7240000000000002</v>
      </c>
      <c r="F20">
        <v>12.68</v>
      </c>
      <c r="G20">
        <v>11.02</v>
      </c>
      <c r="H20">
        <v>30646563663.48</v>
      </c>
      <c r="I20">
        <v>13.23</v>
      </c>
      <c r="J20">
        <v>1021434576</v>
      </c>
      <c r="K20">
        <v>1.91</v>
      </c>
      <c r="L20">
        <v>61.47</v>
      </c>
      <c r="M20">
        <v>1998</v>
      </c>
    </row>
    <row r="21" spans="1:13" ht="15" thickBot="1" x14ac:dyDescent="0.4">
      <c r="A21" s="23">
        <v>26.851924722819589</v>
      </c>
      <c r="B21" s="24">
        <v>2.62</v>
      </c>
      <c r="C21" s="25">
        <v>35.159999999999997</v>
      </c>
      <c r="D21" s="25">
        <v>64.05</v>
      </c>
      <c r="E21" s="25">
        <v>5.7889999999999997</v>
      </c>
      <c r="F21">
        <v>13.36</v>
      </c>
      <c r="G21">
        <v>11.45</v>
      </c>
      <c r="H21">
        <v>36005295926.440002</v>
      </c>
      <c r="I21">
        <v>4.67</v>
      </c>
      <c r="J21">
        <v>1040500054</v>
      </c>
      <c r="K21">
        <v>1.87</v>
      </c>
      <c r="L21">
        <v>61.88</v>
      </c>
      <c r="M21">
        <v>1999</v>
      </c>
    </row>
    <row r="22" spans="1:13" ht="15" thickBot="1" x14ac:dyDescent="0.4">
      <c r="A22" s="23">
        <v>26.872577660034214</v>
      </c>
      <c r="B22" s="24">
        <v>6.3319999999999999</v>
      </c>
      <c r="C22" s="25">
        <v>34.729999999999997</v>
      </c>
      <c r="D22" s="25">
        <v>64.650000000000006</v>
      </c>
      <c r="E22" s="25">
        <v>5.8529999999999998</v>
      </c>
      <c r="F22">
        <v>13.9</v>
      </c>
      <c r="G22">
        <v>13</v>
      </c>
      <c r="H22">
        <v>41059061574.660004</v>
      </c>
      <c r="I22">
        <v>4.01</v>
      </c>
      <c r="J22">
        <v>1059633675</v>
      </c>
      <c r="K22">
        <v>1.84</v>
      </c>
      <c r="L22">
        <v>62.28</v>
      </c>
      <c r="M22">
        <v>2000</v>
      </c>
    </row>
    <row r="23" spans="1:13" ht="15" thickBot="1" x14ac:dyDescent="0.4">
      <c r="A23" s="23">
        <v>26.908323623040616</v>
      </c>
      <c r="B23" s="24">
        <v>8.2129999999999992</v>
      </c>
      <c r="C23" s="25">
        <v>34.36</v>
      </c>
      <c r="D23" s="25">
        <v>65.25</v>
      </c>
      <c r="E23" s="25">
        <v>5.7949999999999999</v>
      </c>
      <c r="F23">
        <v>13.43</v>
      </c>
      <c r="G23">
        <v>12.56</v>
      </c>
      <c r="H23">
        <v>49050841138.720001</v>
      </c>
      <c r="I23">
        <v>3.78</v>
      </c>
      <c r="J23">
        <v>1078970907</v>
      </c>
      <c r="K23">
        <v>1.82</v>
      </c>
      <c r="L23">
        <v>62.69</v>
      </c>
      <c r="M23">
        <v>2001</v>
      </c>
    </row>
    <row r="24" spans="1:13" ht="15" thickBot="1" x14ac:dyDescent="0.4">
      <c r="A24" s="23">
        <v>26.967312242720016</v>
      </c>
      <c r="B24" s="24">
        <v>8.7720000000000002</v>
      </c>
      <c r="C24" s="25">
        <v>33.97</v>
      </c>
      <c r="D24" s="25">
        <v>65.849999999999994</v>
      </c>
      <c r="E24" s="25">
        <v>5.65</v>
      </c>
      <c r="F24">
        <v>15.24</v>
      </c>
      <c r="G24">
        <v>14.26</v>
      </c>
      <c r="H24">
        <v>71607865093.699997</v>
      </c>
      <c r="I24">
        <v>4.3</v>
      </c>
      <c r="J24">
        <v>1098313039</v>
      </c>
      <c r="K24">
        <v>1.79</v>
      </c>
      <c r="L24">
        <v>63.09</v>
      </c>
      <c r="M24">
        <v>2002</v>
      </c>
    </row>
    <row r="25" spans="1:13" ht="15" thickBot="1" x14ac:dyDescent="0.4">
      <c r="A25" s="23">
        <v>27.132946000233598</v>
      </c>
      <c r="B25" s="24">
        <v>9.1880000000000006</v>
      </c>
      <c r="C25" s="25">
        <v>33.56</v>
      </c>
      <c r="D25" s="25">
        <v>66.42</v>
      </c>
      <c r="E25" s="25">
        <v>5.6440000000000001</v>
      </c>
      <c r="F25">
        <v>15.64</v>
      </c>
      <c r="G25">
        <v>14.95</v>
      </c>
      <c r="H25">
        <v>103737208055.97</v>
      </c>
      <c r="I25">
        <v>3.81</v>
      </c>
      <c r="J25">
        <v>1117415123</v>
      </c>
      <c r="K25">
        <v>1.74</v>
      </c>
      <c r="L25">
        <v>63.5</v>
      </c>
      <c r="M25">
        <v>2003</v>
      </c>
    </row>
    <row r="26" spans="1:13" ht="15" thickBot="1" x14ac:dyDescent="0.4">
      <c r="A26" s="23">
        <v>27.287330812353115</v>
      </c>
      <c r="B26" s="24">
        <v>13.452</v>
      </c>
      <c r="C26" s="25">
        <v>33.15</v>
      </c>
      <c r="D26" s="25">
        <v>66.989999999999995</v>
      </c>
      <c r="E26" s="25">
        <v>4.7249999999999996</v>
      </c>
      <c r="F26">
        <v>19.64</v>
      </c>
      <c r="G26">
        <v>17.86</v>
      </c>
      <c r="H26">
        <v>131631143125.85001</v>
      </c>
      <c r="I26">
        <v>3.77</v>
      </c>
      <c r="J26">
        <v>1136264583</v>
      </c>
      <c r="K26">
        <v>1.69</v>
      </c>
      <c r="L26">
        <v>63.91</v>
      </c>
      <c r="M26">
        <v>2004</v>
      </c>
    </row>
    <row r="27" spans="1:13" ht="15" thickBot="1" x14ac:dyDescent="0.4">
      <c r="A27" s="23">
        <v>27.433035429339736</v>
      </c>
      <c r="B27" s="24">
        <v>19.661000000000001</v>
      </c>
      <c r="C27" s="25">
        <v>32.74</v>
      </c>
      <c r="D27" s="25">
        <v>67.56</v>
      </c>
      <c r="E27" s="25">
        <v>4.7629999999999999</v>
      </c>
      <c r="F27">
        <v>22.4</v>
      </c>
      <c r="G27">
        <v>19.61</v>
      </c>
      <c r="H27">
        <v>137824828256.29001</v>
      </c>
      <c r="I27">
        <v>4.25</v>
      </c>
      <c r="J27">
        <v>1154638713</v>
      </c>
      <c r="K27">
        <v>1.62</v>
      </c>
      <c r="L27">
        <v>64.31</v>
      </c>
      <c r="M27">
        <v>2005</v>
      </c>
    </row>
    <row r="28" spans="1:13" ht="15" thickBot="1" x14ac:dyDescent="0.4">
      <c r="A28" s="23">
        <v>27.569422151436065</v>
      </c>
      <c r="B28" s="24">
        <v>23.242000000000001</v>
      </c>
      <c r="C28" s="25">
        <v>32.380000000000003</v>
      </c>
      <c r="D28" s="25">
        <v>68.14</v>
      </c>
      <c r="E28" s="25">
        <v>4.7960000000000003</v>
      </c>
      <c r="F28">
        <v>24.46</v>
      </c>
      <c r="G28">
        <v>21.27</v>
      </c>
      <c r="H28">
        <v>178049790065.97</v>
      </c>
      <c r="I28">
        <v>5.8</v>
      </c>
      <c r="J28">
        <v>1172373788</v>
      </c>
      <c r="K28">
        <v>1.54</v>
      </c>
      <c r="L28">
        <v>64.72</v>
      </c>
      <c r="M28">
        <v>2006</v>
      </c>
    </row>
    <row r="29" spans="1:13" ht="15" thickBot="1" x14ac:dyDescent="0.4">
      <c r="A29" s="23">
        <v>27.827192520537938</v>
      </c>
      <c r="B29" s="24">
        <v>28.922000000000001</v>
      </c>
      <c r="C29" s="25">
        <v>32.01</v>
      </c>
      <c r="D29" s="25">
        <v>68.709999999999994</v>
      </c>
      <c r="E29" s="25">
        <v>4.8869999999999996</v>
      </c>
      <c r="F29">
        <v>24.89</v>
      </c>
      <c r="G29">
        <v>20.8</v>
      </c>
      <c r="H29">
        <v>276578100117.40997</v>
      </c>
      <c r="I29">
        <v>6.37</v>
      </c>
      <c r="J29">
        <v>1189691809</v>
      </c>
      <c r="K29">
        <v>1.48</v>
      </c>
      <c r="L29">
        <v>65.12</v>
      </c>
      <c r="M29">
        <v>2007</v>
      </c>
    </row>
    <row r="30" spans="1:13" ht="15" thickBot="1" x14ac:dyDescent="0.4">
      <c r="A30" s="23">
        <v>27.812421900723301</v>
      </c>
      <c r="B30" s="24">
        <v>30.387</v>
      </c>
      <c r="C30" s="25">
        <v>31.64</v>
      </c>
      <c r="D30" s="25">
        <v>69.41</v>
      </c>
      <c r="E30" s="25">
        <v>4.9210000000000003</v>
      </c>
      <c r="F30">
        <v>29.27</v>
      </c>
      <c r="G30">
        <v>24.1</v>
      </c>
      <c r="H30">
        <v>257422725614.88</v>
      </c>
      <c r="I30">
        <v>8.35</v>
      </c>
      <c r="J30">
        <v>1206734806</v>
      </c>
      <c r="K30">
        <v>1.43</v>
      </c>
      <c r="L30">
        <v>65.53</v>
      </c>
      <c r="M30">
        <v>2008</v>
      </c>
    </row>
    <row r="31" spans="1:13" ht="15" thickBot="1" x14ac:dyDescent="0.4">
      <c r="A31" s="23">
        <v>27.92509765224813</v>
      </c>
      <c r="B31" s="24">
        <v>27.024999999999999</v>
      </c>
      <c r="C31" s="25">
        <v>31.24</v>
      </c>
      <c r="D31" s="25">
        <v>70.11</v>
      </c>
      <c r="E31" s="25">
        <v>4.9550000000000001</v>
      </c>
      <c r="F31">
        <v>25.87</v>
      </c>
      <c r="G31">
        <v>20.399999999999999</v>
      </c>
      <c r="H31">
        <v>284682887897.59003</v>
      </c>
      <c r="I31">
        <v>10.88</v>
      </c>
      <c r="J31">
        <v>1223640160</v>
      </c>
      <c r="K31">
        <v>1.4</v>
      </c>
      <c r="L31">
        <v>65.98</v>
      </c>
      <c r="M31">
        <v>2009</v>
      </c>
    </row>
    <row r="32" spans="1:13" ht="15" thickBot="1" x14ac:dyDescent="0.4">
      <c r="A32" s="23">
        <v>28.147201578281397</v>
      </c>
      <c r="B32" s="24">
        <v>30.908999999999999</v>
      </c>
      <c r="C32" s="25">
        <v>30.81</v>
      </c>
      <c r="D32" s="25">
        <v>70.8</v>
      </c>
      <c r="E32" s="25">
        <v>5.0339999999999998</v>
      </c>
      <c r="F32">
        <v>26.85</v>
      </c>
      <c r="G32">
        <v>22.4</v>
      </c>
      <c r="H32">
        <v>300480168786.34998</v>
      </c>
      <c r="I32">
        <v>11.99</v>
      </c>
      <c r="J32">
        <v>1240613620</v>
      </c>
      <c r="K32">
        <v>1.39</v>
      </c>
      <c r="L32">
        <v>66.430000000000007</v>
      </c>
      <c r="M32">
        <v>2010</v>
      </c>
    </row>
    <row r="33" spans="1:13" ht="15" thickBot="1" x14ac:dyDescent="0.4">
      <c r="A33" s="23">
        <v>28.231531998946945</v>
      </c>
      <c r="B33" s="24">
        <v>33.450000000000003</v>
      </c>
      <c r="C33" s="25">
        <v>30.4</v>
      </c>
      <c r="D33" s="25">
        <v>71.5</v>
      </c>
      <c r="E33" s="25">
        <v>5.1120000000000001</v>
      </c>
      <c r="F33">
        <v>31.08</v>
      </c>
      <c r="G33">
        <v>24.54</v>
      </c>
      <c r="H33">
        <v>298739463090.87</v>
      </c>
      <c r="I33">
        <v>8.91</v>
      </c>
      <c r="J33">
        <v>1257621191</v>
      </c>
      <c r="K33">
        <v>1.37</v>
      </c>
      <c r="L33">
        <v>66.87</v>
      </c>
      <c r="M33">
        <v>2011</v>
      </c>
    </row>
    <row r="34" spans="1:13" ht="15" thickBot="1" x14ac:dyDescent="0.4">
      <c r="A34" s="23">
        <v>28.234045461640768</v>
      </c>
      <c r="B34" s="24">
        <v>34.402000000000001</v>
      </c>
      <c r="C34" s="25">
        <v>29.93</v>
      </c>
      <c r="D34" s="25">
        <v>72.2</v>
      </c>
      <c r="E34" s="25">
        <v>5.1909999999999998</v>
      </c>
      <c r="F34">
        <v>31.26</v>
      </c>
      <c r="G34">
        <v>24.53</v>
      </c>
      <c r="H34">
        <v>300425517446.54999</v>
      </c>
      <c r="I34">
        <v>9.48</v>
      </c>
      <c r="J34">
        <v>1274487215</v>
      </c>
      <c r="K34">
        <v>1.34</v>
      </c>
      <c r="L34">
        <v>67.319999999999993</v>
      </c>
      <c r="M34">
        <v>2012</v>
      </c>
    </row>
    <row r="35" spans="1:13" ht="15" thickBot="1" x14ac:dyDescent="0.4">
      <c r="A35" s="23">
        <v>28.249833748650111</v>
      </c>
      <c r="B35" s="24">
        <v>32.362000000000002</v>
      </c>
      <c r="C35" s="25">
        <v>29.43</v>
      </c>
      <c r="D35" s="25">
        <v>72.599999999999994</v>
      </c>
      <c r="E35" s="25">
        <v>5.2939999999999996</v>
      </c>
      <c r="F35">
        <v>28.41</v>
      </c>
      <c r="G35">
        <v>25.43</v>
      </c>
      <c r="H35">
        <v>298092478740.58002</v>
      </c>
      <c r="I35">
        <v>10.02</v>
      </c>
      <c r="J35">
        <v>1291132063</v>
      </c>
      <c r="K35">
        <v>1.31</v>
      </c>
      <c r="L35">
        <v>67.77</v>
      </c>
      <c r="M35">
        <v>2013</v>
      </c>
    </row>
    <row r="36" spans="1:13" ht="15" thickBot="1" x14ac:dyDescent="0.4">
      <c r="A36" s="23">
        <v>28.343543109882685</v>
      </c>
      <c r="B36" s="24">
        <v>30.814</v>
      </c>
      <c r="C36" s="25">
        <v>28.93</v>
      </c>
      <c r="D36" s="25">
        <v>73</v>
      </c>
      <c r="E36" s="25">
        <v>5.5410000000000004</v>
      </c>
      <c r="F36">
        <v>25.95</v>
      </c>
      <c r="G36">
        <v>22.97</v>
      </c>
      <c r="H36">
        <v>325081035127.89001</v>
      </c>
      <c r="I36">
        <v>6.67</v>
      </c>
      <c r="J36">
        <v>1307246509</v>
      </c>
      <c r="K36">
        <v>1.25</v>
      </c>
      <c r="L36">
        <v>68.069999999999993</v>
      </c>
      <c r="M36">
        <v>2014</v>
      </c>
    </row>
    <row r="37" spans="1:13" ht="15" thickBot="1" x14ac:dyDescent="0.4">
      <c r="A37" s="23">
        <v>28.374665485629396</v>
      </c>
      <c r="B37" s="24">
        <v>33.079000000000001</v>
      </c>
      <c r="C37" s="25">
        <v>28.44</v>
      </c>
      <c r="D37" s="25">
        <v>73.41</v>
      </c>
      <c r="E37" s="25">
        <v>5.835</v>
      </c>
      <c r="F37">
        <v>22.11</v>
      </c>
      <c r="G37">
        <v>19.809999999999999</v>
      </c>
      <c r="H37">
        <v>353319061013.21997</v>
      </c>
      <c r="I37">
        <v>4.91</v>
      </c>
      <c r="J37">
        <v>1322866505</v>
      </c>
      <c r="K37">
        <v>1.19</v>
      </c>
      <c r="L37">
        <v>68.37</v>
      </c>
      <c r="M37">
        <v>2015</v>
      </c>
    </row>
    <row r="38" spans="1:13" ht="15" thickBot="1" x14ac:dyDescent="0.4">
      <c r="A38" s="23">
        <v>28.461665929644546</v>
      </c>
      <c r="B38" s="24">
        <v>31.858000000000001</v>
      </c>
      <c r="C38" s="25">
        <v>27.93</v>
      </c>
      <c r="D38" s="25">
        <v>73.81</v>
      </c>
      <c r="E38" s="25">
        <v>5.82</v>
      </c>
      <c r="F38">
        <v>20.92</v>
      </c>
      <c r="G38">
        <v>19.16</v>
      </c>
      <c r="H38">
        <v>361694321972.03998</v>
      </c>
      <c r="I38">
        <v>4.95</v>
      </c>
      <c r="J38">
        <v>1338636340</v>
      </c>
      <c r="K38">
        <v>1.19</v>
      </c>
      <c r="L38">
        <v>68.67</v>
      </c>
      <c r="M38">
        <v>2016</v>
      </c>
    </row>
    <row r="39" spans="1:13" ht="15" thickBot="1" x14ac:dyDescent="0.4">
      <c r="A39" s="23">
        <v>28.606136430331777</v>
      </c>
      <c r="B39" s="24">
        <v>31.620999999999999</v>
      </c>
      <c r="C39" s="25">
        <v>27.48</v>
      </c>
      <c r="D39" s="25">
        <v>74.209999999999994</v>
      </c>
      <c r="E39" s="25">
        <v>5.6150000000000002</v>
      </c>
      <c r="F39">
        <v>21.95</v>
      </c>
      <c r="G39">
        <v>18.79</v>
      </c>
      <c r="H39">
        <v>412613792019.91998</v>
      </c>
      <c r="I39">
        <v>3.33</v>
      </c>
      <c r="J39">
        <v>1354195680</v>
      </c>
      <c r="K39">
        <v>1.1599999999999999</v>
      </c>
      <c r="L39">
        <v>68.97</v>
      </c>
      <c r="M39">
        <v>2017</v>
      </c>
    </row>
    <row r="40" spans="1:13" ht="15" thickBot="1" x14ac:dyDescent="0.4">
      <c r="A40" s="23">
        <v>28.625357381760317</v>
      </c>
      <c r="B40" s="24">
        <v>33.765999999999998</v>
      </c>
      <c r="C40" s="25">
        <v>27.05</v>
      </c>
      <c r="D40" s="25">
        <v>74.59</v>
      </c>
      <c r="E40" s="25">
        <v>5.0650000000000004</v>
      </c>
      <c r="F40">
        <v>23.69</v>
      </c>
      <c r="G40">
        <v>19.93</v>
      </c>
      <c r="H40">
        <v>399167159226.67999</v>
      </c>
      <c r="I40">
        <v>3.94</v>
      </c>
      <c r="J40">
        <v>1369003306</v>
      </c>
      <c r="K40">
        <v>1.0900000000000001</v>
      </c>
      <c r="L40">
        <v>69.27</v>
      </c>
      <c r="M40">
        <v>2018</v>
      </c>
    </row>
    <row r="41" spans="1:13" ht="15" thickBot="1" x14ac:dyDescent="0.4">
      <c r="A41" s="23">
        <v>28.671846165741808</v>
      </c>
      <c r="B41" s="24">
        <v>34.173000000000002</v>
      </c>
      <c r="C41" s="25">
        <v>26.62</v>
      </c>
      <c r="D41" s="25">
        <v>74.98</v>
      </c>
      <c r="E41" s="25">
        <v>5.2149999999999999</v>
      </c>
      <c r="F41">
        <v>21.27</v>
      </c>
      <c r="G41">
        <v>18.690000000000001</v>
      </c>
      <c r="H41">
        <v>463469902152.51001</v>
      </c>
      <c r="I41">
        <v>3.73</v>
      </c>
      <c r="J41">
        <v>1383112050</v>
      </c>
      <c r="K41">
        <v>1.03</v>
      </c>
      <c r="L41">
        <v>69.5</v>
      </c>
      <c r="M41">
        <v>2019</v>
      </c>
    </row>
    <row r="42" spans="1:13" ht="15" thickBot="1" x14ac:dyDescent="0.4">
      <c r="A42" s="23">
        <v>28.612233277545126</v>
      </c>
      <c r="B42" s="24">
        <v>33.630000000000003</v>
      </c>
      <c r="C42" s="25">
        <v>26.16</v>
      </c>
      <c r="D42" s="25">
        <v>75.37</v>
      </c>
      <c r="E42" s="25">
        <v>5.2149999999999999</v>
      </c>
      <c r="F42">
        <v>19.100000000000001</v>
      </c>
      <c r="G42">
        <v>18.71</v>
      </c>
      <c r="H42">
        <v>590227359928.90002</v>
      </c>
      <c r="I42">
        <v>6.62</v>
      </c>
      <c r="J42">
        <v>1396387127</v>
      </c>
      <c r="K42">
        <v>0.96</v>
      </c>
      <c r="L42">
        <v>69.73</v>
      </c>
      <c r="M42">
        <v>2020</v>
      </c>
    </row>
    <row r="43" spans="1:13" ht="23.25" customHeight="1" x14ac:dyDescent="0.35"/>
    <row r="45" spans="1:13" ht="33" customHeight="1" x14ac:dyDescent="0.35"/>
    <row r="46" spans="1:13" ht="15" customHeight="1" x14ac:dyDescent="0.35"/>
  </sheetData>
  <mergeCells count="1">
    <mergeCell ref="A1:F1"/>
  </mergeCells>
  <hyperlinks>
    <hyperlink ref="A2" r:id="rId1" xr:uid="{24E89A80-BA71-4D12-87B1-DB6DDCC9DF63}"/>
    <hyperlink ref="A3" r:id="rId2" location="IP.PAT.NRES" display="https://www.indexmundi.com/facts/india/patent-applications - IP.PAT.NRES" xr:uid="{A9419466-D4F3-490E-A098-28DF2149403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topLeftCell="A22" workbookViewId="0">
      <selection activeCell="B23" sqref="B23:D34"/>
    </sheetView>
  </sheetViews>
  <sheetFormatPr defaultRowHeight="14.5" x14ac:dyDescent="0.35"/>
  <cols>
    <col min="2" max="2" width="3.81640625" customWidth="1"/>
    <col min="3" max="3" width="16.36328125" customWidth="1"/>
    <col min="10" max="10" width="25" customWidth="1"/>
    <col min="11" max="11" width="63.1796875" customWidth="1"/>
  </cols>
  <sheetData>
    <row r="1" spans="1:11" ht="15" customHeight="1" x14ac:dyDescent="0.35">
      <c r="A1" s="42" t="s">
        <v>1</v>
      </c>
      <c r="B1" s="43"/>
      <c r="C1" s="43"/>
      <c r="D1" s="43"/>
      <c r="E1" s="43"/>
      <c r="F1" s="43"/>
      <c r="G1" s="43"/>
      <c r="H1" s="43"/>
      <c r="I1" s="43"/>
      <c r="J1" s="43"/>
      <c r="K1" s="44"/>
    </row>
    <row r="2" spans="1:11" ht="119.25" customHeight="1" x14ac:dyDescent="0.35">
      <c r="A2" s="45"/>
      <c r="B2" s="46"/>
      <c r="C2" s="46"/>
      <c r="D2" s="46"/>
      <c r="E2" s="46"/>
      <c r="F2" s="46"/>
      <c r="G2" s="46"/>
      <c r="H2" s="46"/>
      <c r="I2" s="46"/>
      <c r="J2" s="46"/>
      <c r="K2" s="47"/>
    </row>
    <row r="3" spans="1:11" ht="26.25" customHeight="1" x14ac:dyDescent="0.35"/>
    <row r="5" spans="1:11" x14ac:dyDescent="0.35">
      <c r="B5" t="s">
        <v>72</v>
      </c>
      <c r="C5" t="s">
        <v>84</v>
      </c>
    </row>
    <row r="6" spans="1:11" x14ac:dyDescent="0.35">
      <c r="B6" t="s">
        <v>73</v>
      </c>
      <c r="C6" t="s">
        <v>88</v>
      </c>
    </row>
    <row r="7" spans="1:11" x14ac:dyDescent="0.35">
      <c r="B7" t="s">
        <v>74</v>
      </c>
      <c r="C7" t="s">
        <v>85</v>
      </c>
    </row>
    <row r="8" spans="1:11" x14ac:dyDescent="0.35">
      <c r="B8" t="s">
        <v>75</v>
      </c>
      <c r="C8" t="s">
        <v>86</v>
      </c>
    </row>
    <row r="9" spans="1:11" x14ac:dyDescent="0.35">
      <c r="A9" s="5"/>
      <c r="B9" t="s">
        <v>76</v>
      </c>
      <c r="C9" t="s">
        <v>87</v>
      </c>
    </row>
    <row r="10" spans="1:11" x14ac:dyDescent="0.35">
      <c r="B10" t="s">
        <v>77</v>
      </c>
      <c r="C10" t="s">
        <v>89</v>
      </c>
    </row>
    <row r="11" spans="1:11" x14ac:dyDescent="0.35">
      <c r="B11" t="s">
        <v>78</v>
      </c>
      <c r="C11" t="s">
        <v>89</v>
      </c>
    </row>
    <row r="12" spans="1:11" x14ac:dyDescent="0.35">
      <c r="B12" t="s">
        <v>79</v>
      </c>
      <c r="C12" t="s">
        <v>90</v>
      </c>
    </row>
    <row r="13" spans="1:11" x14ac:dyDescent="0.35">
      <c r="B13" t="s">
        <v>80</v>
      </c>
      <c r="C13" t="s">
        <v>91</v>
      </c>
    </row>
    <row r="14" spans="1:11" x14ac:dyDescent="0.35">
      <c r="B14" t="s">
        <v>81</v>
      </c>
      <c r="C14" t="s">
        <v>92</v>
      </c>
    </row>
    <row r="15" spans="1:11" x14ac:dyDescent="0.35">
      <c r="B15" t="s">
        <v>82</v>
      </c>
      <c r="C15" t="s">
        <v>91</v>
      </c>
    </row>
    <row r="16" spans="1:11" x14ac:dyDescent="0.35">
      <c r="B16" t="s">
        <v>83</v>
      </c>
      <c r="C16" t="s">
        <v>93</v>
      </c>
    </row>
    <row r="23" spans="2:4" x14ac:dyDescent="0.35">
      <c r="B23" t="s">
        <v>72</v>
      </c>
      <c r="C23" t="s">
        <v>252</v>
      </c>
      <c r="D23" t="s">
        <v>84</v>
      </c>
    </row>
    <row r="24" spans="2:4" x14ac:dyDescent="0.35">
      <c r="B24" t="s">
        <v>73</v>
      </c>
      <c r="C24" t="s">
        <v>253</v>
      </c>
      <c r="D24" t="s">
        <v>254</v>
      </c>
    </row>
    <row r="25" spans="2:4" x14ac:dyDescent="0.35">
      <c r="B25" t="s">
        <v>74</v>
      </c>
      <c r="C25" t="s">
        <v>255</v>
      </c>
      <c r="D25" t="s">
        <v>91</v>
      </c>
    </row>
    <row r="26" spans="2:4" x14ac:dyDescent="0.35">
      <c r="B26" t="s">
        <v>75</v>
      </c>
      <c r="C26" t="s">
        <v>256</v>
      </c>
      <c r="D26" t="s">
        <v>257</v>
      </c>
    </row>
    <row r="27" spans="2:4" x14ac:dyDescent="0.35">
      <c r="B27" t="s">
        <v>76</v>
      </c>
      <c r="C27" t="s">
        <v>258</v>
      </c>
      <c r="D27" t="s">
        <v>87</v>
      </c>
    </row>
    <row r="28" spans="2:4" x14ac:dyDescent="0.35">
      <c r="B28" t="s">
        <v>77</v>
      </c>
      <c r="C28" t="s">
        <v>245</v>
      </c>
      <c r="D28" t="s">
        <v>89</v>
      </c>
    </row>
    <row r="29" spans="2:4" x14ac:dyDescent="0.35">
      <c r="B29" t="s">
        <v>78</v>
      </c>
      <c r="C29" t="s">
        <v>246</v>
      </c>
      <c r="D29" t="s">
        <v>89</v>
      </c>
    </row>
    <row r="30" spans="2:4" x14ac:dyDescent="0.35">
      <c r="B30" t="s">
        <v>79</v>
      </c>
      <c r="C30" t="s">
        <v>247</v>
      </c>
      <c r="D30" t="s">
        <v>90</v>
      </c>
    </row>
    <row r="31" spans="2:4" x14ac:dyDescent="0.35">
      <c r="B31" t="s">
        <v>80</v>
      </c>
      <c r="C31" t="s">
        <v>248</v>
      </c>
      <c r="D31" t="s">
        <v>91</v>
      </c>
    </row>
    <row r="32" spans="2:4" x14ac:dyDescent="0.35">
      <c r="B32" t="s">
        <v>81</v>
      </c>
      <c r="C32" t="s">
        <v>249</v>
      </c>
      <c r="D32" t="s">
        <v>92</v>
      </c>
    </row>
    <row r="33" spans="2:4" x14ac:dyDescent="0.35">
      <c r="B33" t="s">
        <v>82</v>
      </c>
      <c r="C33" t="s">
        <v>250</v>
      </c>
      <c r="D33" t="s">
        <v>91</v>
      </c>
    </row>
    <row r="34" spans="2:4" x14ac:dyDescent="0.35">
      <c r="B34" t="s">
        <v>83</v>
      </c>
      <c r="C34" t="s">
        <v>251</v>
      </c>
      <c r="D34" t="s">
        <v>93</v>
      </c>
    </row>
  </sheetData>
  <mergeCells count="1">
    <mergeCell ref="A1:K2"/>
  </mergeCells>
  <phoneticPr fontId="11" type="noConversion"/>
  <pageMargins left="0.7" right="0.7" top="0.75" bottom="0.75" header="0.3" footer="0.3"/>
  <pageSetup paperSize="9" orientation="portrait" verticalDpi="597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352"/>
  <sheetViews>
    <sheetView topLeftCell="H304" zoomScaleNormal="100" workbookViewId="0">
      <selection activeCell="AA325" sqref="AA325"/>
    </sheetView>
  </sheetViews>
  <sheetFormatPr defaultRowHeight="14.5" x14ac:dyDescent="0.35"/>
  <cols>
    <col min="2" max="2" width="10.08984375" customWidth="1"/>
    <col min="7" max="7" width="88.54296875" customWidth="1"/>
    <col min="8" max="8" width="9.1796875" customWidth="1"/>
    <col min="22" max="22" width="11.81640625" bestFit="1" customWidth="1"/>
  </cols>
  <sheetData>
    <row r="1" spans="1:13" ht="51.75" customHeight="1" x14ac:dyDescent="0.35">
      <c r="A1" s="49" t="s">
        <v>2</v>
      </c>
      <c r="B1" s="50"/>
      <c r="C1" s="50"/>
      <c r="D1" s="50"/>
      <c r="E1" s="50"/>
      <c r="F1" s="50"/>
      <c r="G1" s="50"/>
    </row>
    <row r="3" spans="1:13" ht="15" thickBot="1" x14ac:dyDescent="0.4"/>
    <row r="4" spans="1:13" ht="27" customHeight="1" x14ac:dyDescent="0.35">
      <c r="A4" s="49" t="s">
        <v>3</v>
      </c>
      <c r="B4" s="50"/>
      <c r="C4" s="50"/>
      <c r="D4" s="50"/>
      <c r="E4" s="50"/>
      <c r="F4" s="50"/>
      <c r="G4" s="51"/>
    </row>
    <row r="5" spans="1:13" ht="26.25" customHeight="1" x14ac:dyDescent="0.35">
      <c r="A5" s="52" t="s">
        <v>4</v>
      </c>
      <c r="B5" s="53"/>
      <c r="C5" s="53"/>
      <c r="D5" s="53"/>
      <c r="E5" s="53"/>
      <c r="F5" s="53"/>
      <c r="G5" s="54"/>
    </row>
    <row r="6" spans="1:13" ht="23.25" customHeight="1" x14ac:dyDescent="0.35">
      <c r="A6" s="52" t="s">
        <v>5</v>
      </c>
      <c r="B6" s="53"/>
      <c r="C6" s="53"/>
      <c r="D6" s="53"/>
      <c r="E6" s="53"/>
      <c r="F6" s="53"/>
      <c r="G6" s="54"/>
    </row>
    <row r="7" spans="1:13" ht="22.5" customHeight="1" thickBot="1" x14ac:dyDescent="0.4">
      <c r="A7" s="55" t="s">
        <v>6</v>
      </c>
      <c r="B7" s="56"/>
      <c r="C7" s="56"/>
      <c r="D7" s="56"/>
      <c r="E7" s="56"/>
      <c r="F7" s="56"/>
      <c r="G7" s="57"/>
    </row>
    <row r="9" spans="1:13" ht="15" thickBot="1" x14ac:dyDescent="0.4"/>
    <row r="10" spans="1:13" ht="15" thickBot="1" x14ac:dyDescent="0.4">
      <c r="B10" s="29" t="s">
        <v>94</v>
      </c>
    </row>
    <row r="11" spans="1:13" x14ac:dyDescent="0.35">
      <c r="C11" s="26" t="s">
        <v>95</v>
      </c>
      <c r="D11" s="26" t="s">
        <v>96</v>
      </c>
      <c r="E11" s="26" t="s">
        <v>97</v>
      </c>
      <c r="F11" s="26" t="s">
        <v>98</v>
      </c>
      <c r="G11" s="26" t="s">
        <v>99</v>
      </c>
      <c r="H11" s="26" t="s">
        <v>100</v>
      </c>
      <c r="I11" s="26" t="s">
        <v>101</v>
      </c>
      <c r="J11" s="26" t="s">
        <v>102</v>
      </c>
      <c r="K11" s="26" t="s">
        <v>103</v>
      </c>
      <c r="L11" s="26" t="s">
        <v>104</v>
      </c>
      <c r="M11" s="26" t="s">
        <v>105</v>
      </c>
    </row>
    <row r="12" spans="1:13" x14ac:dyDescent="0.35">
      <c r="C12" s="26">
        <f>_xlfn.STDEV.S(Dane!B5:B42)/AVERAGE(Dane!B5:B42)</f>
        <v>0.85604151403320283</v>
      </c>
      <c r="D12" s="26">
        <f>_xlfn.STDEV.S(Dane!C5:C42)/AVERAGE(Dane!C5:C42)</f>
        <v>0.12094001403202144</v>
      </c>
      <c r="E12" s="26">
        <f>_xlfn.STDEV.S(Dane!D5:D42)/AVERAGE(Dane!D5:D42)</f>
        <v>0.11348522516648273</v>
      </c>
      <c r="F12" s="26">
        <f>_xlfn.STDEV.S(Dane!E5:E42)/AVERAGE(Dane!E5:E42)</f>
        <v>0.35014655967278524</v>
      </c>
      <c r="G12" s="26">
        <f>_xlfn.STDEV.S(Dane!F5:F42)/AVERAGE(Dane!F5:F42)</f>
        <v>0.46822242424054977</v>
      </c>
      <c r="H12" s="26">
        <f>_xlfn.STDEV.S(Dane!G5:G42)/AVERAGE(Dane!G5:G42)</f>
        <v>0.45124682731707527</v>
      </c>
      <c r="I12" s="26">
        <f>_xlfn.STDEV.S(Dane!H5:H42)/AVERAGE(Dane!H5:H42)</f>
        <v>1.0646918028509045</v>
      </c>
      <c r="J12" s="26">
        <f>_xlfn.STDEV.S(Dane!I5:I42)/AVERAGE(Dane!I5:I42)</f>
        <v>0.39996576431270375</v>
      </c>
      <c r="K12" s="26">
        <f>_xlfn.STDEV.S(Dane!J5:J42)/AVERAGE(Dane!J5:J42)</f>
        <v>0.18522312275123839</v>
      </c>
      <c r="L12" s="26">
        <f>_xlfn.STDEV.S(Dane!K5:K42)/AVERAGE(Dane!K5:K42)</f>
        <v>0.24007112238133543</v>
      </c>
      <c r="M12" s="26">
        <f>_xlfn.STDEV.S(Dane!L5:L42)/AVERAGE(Dane!L5:L42)</f>
        <v>7.4502660730159431E-2</v>
      </c>
    </row>
    <row r="13" spans="1:13" ht="15" thickBot="1" x14ac:dyDescent="0.4"/>
    <row r="14" spans="1:13" ht="15" thickBot="1" x14ac:dyDescent="0.4">
      <c r="B14" s="27" t="s">
        <v>106</v>
      </c>
      <c r="C14" s="28">
        <v>0.1</v>
      </c>
    </row>
    <row r="16" spans="1:13" x14ac:dyDescent="0.35">
      <c r="B16" t="s">
        <v>107</v>
      </c>
    </row>
    <row r="17" spans="2:12" x14ac:dyDescent="0.35">
      <c r="B17" t="s">
        <v>108</v>
      </c>
    </row>
    <row r="18" spans="2:12" x14ac:dyDescent="0.35">
      <c r="B18" t="s">
        <v>109</v>
      </c>
    </row>
    <row r="23" spans="2:12" x14ac:dyDescent="0.35">
      <c r="B23" s="48" t="s">
        <v>110</v>
      </c>
      <c r="C23" s="48"/>
      <c r="D23" s="48"/>
      <c r="E23" s="48"/>
      <c r="F23" s="48"/>
      <c r="G23" s="48"/>
      <c r="H23" s="48"/>
      <c r="I23" s="48"/>
      <c r="J23" s="48"/>
    </row>
    <row r="24" spans="2:12" x14ac:dyDescent="0.35">
      <c r="B24" s="48"/>
      <c r="C24" s="48"/>
      <c r="D24" s="48"/>
      <c r="E24" s="48"/>
      <c r="F24" s="48"/>
      <c r="G24" s="48"/>
      <c r="H24" s="48"/>
      <c r="I24" s="48"/>
      <c r="J24" s="48"/>
    </row>
    <row r="26" spans="2:12" ht="15" thickBot="1" x14ac:dyDescent="0.4"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 t="s">
        <v>65</v>
      </c>
      <c r="H26" t="s">
        <v>66</v>
      </c>
      <c r="I26" t="s">
        <v>67</v>
      </c>
      <c r="J26" t="s">
        <v>68</v>
      </c>
      <c r="K26" t="s">
        <v>69</v>
      </c>
      <c r="L26" t="s">
        <v>70</v>
      </c>
    </row>
    <row r="27" spans="2:12" ht="15" thickBot="1" x14ac:dyDescent="0.4">
      <c r="B27" s="23">
        <v>26.108963265626635</v>
      </c>
      <c r="C27" s="24">
        <v>1.948</v>
      </c>
      <c r="D27" s="25">
        <v>39.020000000000003</v>
      </c>
      <c r="E27" s="25">
        <v>52.1</v>
      </c>
      <c r="F27" s="25">
        <v>1.151</v>
      </c>
      <c r="G27">
        <v>7.85</v>
      </c>
      <c r="H27">
        <v>5.84</v>
      </c>
      <c r="I27">
        <v>8215732398.9700003</v>
      </c>
      <c r="J27">
        <v>11.87</v>
      </c>
      <c r="K27">
        <v>745826546</v>
      </c>
      <c r="L27">
        <v>2.2799999999999998</v>
      </c>
    </row>
    <row r="28" spans="2:12" ht="15" thickBot="1" x14ac:dyDescent="0.4">
      <c r="B28" s="23">
        <v>26.080598220791387</v>
      </c>
      <c r="C28" s="24">
        <v>2.2909999999999999</v>
      </c>
      <c r="D28" s="25">
        <v>38.909999999999997</v>
      </c>
      <c r="E28" s="25">
        <v>52.6</v>
      </c>
      <c r="F28" s="25">
        <v>1.2949999999999999</v>
      </c>
      <c r="G28">
        <v>7.73</v>
      </c>
      <c r="H28">
        <v>6.28</v>
      </c>
      <c r="I28">
        <v>8535944481.1999998</v>
      </c>
      <c r="J28">
        <v>8.32</v>
      </c>
      <c r="K28">
        <v>762895156</v>
      </c>
      <c r="L28">
        <v>2.29</v>
      </c>
    </row>
    <row r="29" spans="2:12" ht="15" thickBot="1" x14ac:dyDescent="0.4">
      <c r="B29" s="23">
        <v>26.172207148160084</v>
      </c>
      <c r="C29" s="24">
        <v>2.4929999999999999</v>
      </c>
      <c r="D29" s="25">
        <v>38.75</v>
      </c>
      <c r="E29" s="25">
        <v>53.11</v>
      </c>
      <c r="F29" s="25">
        <v>1.5289999999999999</v>
      </c>
      <c r="G29">
        <v>7.65</v>
      </c>
      <c r="H29">
        <v>5.25</v>
      </c>
      <c r="I29">
        <v>9493102974.0200005</v>
      </c>
      <c r="J29">
        <v>5.56</v>
      </c>
      <c r="K29">
        <v>780242084</v>
      </c>
      <c r="L29">
        <v>2.27</v>
      </c>
    </row>
    <row r="30" spans="2:12" ht="15" thickBot="1" x14ac:dyDescent="0.4">
      <c r="B30" s="23">
        <v>26.240662482996122</v>
      </c>
      <c r="C30" s="24">
        <v>2.4969999999999999</v>
      </c>
      <c r="D30" s="25">
        <v>38.71</v>
      </c>
      <c r="E30" s="25">
        <v>53.62</v>
      </c>
      <c r="F30" s="25">
        <v>1.911</v>
      </c>
      <c r="G30">
        <v>7.02</v>
      </c>
      <c r="H30">
        <v>5.2</v>
      </c>
      <c r="I30">
        <v>10480102587.559999</v>
      </c>
      <c r="J30">
        <v>8.73</v>
      </c>
      <c r="K30">
        <v>797878993</v>
      </c>
      <c r="L30">
        <v>2.2599999999999998</v>
      </c>
    </row>
    <row r="31" spans="2:12" ht="15" thickBot="1" x14ac:dyDescent="0.4">
      <c r="B31" s="23">
        <v>26.35459798461391</v>
      </c>
      <c r="C31" s="24">
        <v>2.52</v>
      </c>
      <c r="D31" s="25">
        <v>38.58</v>
      </c>
      <c r="E31" s="25">
        <v>54.12</v>
      </c>
      <c r="F31" s="25">
        <v>2.0950000000000002</v>
      </c>
      <c r="G31">
        <v>6.98</v>
      </c>
      <c r="H31">
        <v>5.6</v>
      </c>
      <c r="I31">
        <v>11511740598.809999</v>
      </c>
      <c r="J31">
        <v>8.8000000000000007</v>
      </c>
      <c r="K31">
        <v>815716125</v>
      </c>
      <c r="L31">
        <v>2.2400000000000002</v>
      </c>
    </row>
    <row r="32" spans="2:12" ht="15" thickBot="1" x14ac:dyDescent="0.4">
      <c r="B32" s="23">
        <v>26.415613161485624</v>
      </c>
      <c r="C32" s="24">
        <v>2.504</v>
      </c>
      <c r="D32" s="25">
        <v>38.4</v>
      </c>
      <c r="E32" s="25">
        <v>55.02</v>
      </c>
      <c r="F32" s="25">
        <v>2.2400000000000002</v>
      </c>
      <c r="G32">
        <v>7.46</v>
      </c>
      <c r="H32">
        <v>6.04</v>
      </c>
      <c r="I32">
        <v>9185839446.5400009</v>
      </c>
      <c r="J32">
        <v>9.3800000000000008</v>
      </c>
      <c r="K32">
        <v>833729681</v>
      </c>
      <c r="L32">
        <v>2.21</v>
      </c>
    </row>
    <row r="33" spans="2:29" ht="15" thickBot="1" x14ac:dyDescent="0.4">
      <c r="B33" s="23">
        <v>26.413768372199044</v>
      </c>
      <c r="C33" s="24">
        <v>2.6</v>
      </c>
      <c r="D33" s="25">
        <v>38.19</v>
      </c>
      <c r="E33" s="25">
        <v>55.91</v>
      </c>
      <c r="F33" s="25">
        <v>2.407</v>
      </c>
      <c r="G33">
        <v>8.15</v>
      </c>
      <c r="H33">
        <v>7.02</v>
      </c>
      <c r="I33">
        <v>8048455918.1599998</v>
      </c>
      <c r="J33">
        <v>7.07</v>
      </c>
      <c r="K33">
        <v>852012673</v>
      </c>
      <c r="L33">
        <v>2.19</v>
      </c>
      <c r="U33" s="30"/>
      <c r="V33" s="30"/>
    </row>
    <row r="34" spans="2:29" ht="15" thickBot="1" x14ac:dyDescent="0.4">
      <c r="B34" s="23">
        <v>26.494641619686462</v>
      </c>
      <c r="C34" s="24">
        <v>2.673</v>
      </c>
      <c r="D34" s="25">
        <v>37.97</v>
      </c>
      <c r="E34" s="25">
        <v>56.8</v>
      </c>
      <c r="F34" s="25">
        <v>2.4350000000000001</v>
      </c>
      <c r="G34">
        <v>8.4499999999999993</v>
      </c>
      <c r="H34">
        <v>7.05</v>
      </c>
      <c r="I34">
        <v>5637446363.8299999</v>
      </c>
      <c r="J34">
        <v>8.9700000000000006</v>
      </c>
      <c r="K34">
        <v>870452165</v>
      </c>
      <c r="L34">
        <v>2.16</v>
      </c>
    </row>
    <row r="35" spans="2:29" ht="15" thickBot="1" x14ac:dyDescent="0.4">
      <c r="B35" s="23">
        <v>26.322077874962332</v>
      </c>
      <c r="C35" s="24">
        <v>2.3279999999999998</v>
      </c>
      <c r="D35" s="25">
        <v>37.770000000000003</v>
      </c>
      <c r="E35" s="25">
        <v>57.7</v>
      </c>
      <c r="F35" s="25">
        <v>2.556</v>
      </c>
      <c r="G35">
        <v>8.49</v>
      </c>
      <c r="H35">
        <v>8.49</v>
      </c>
      <c r="I35">
        <v>7615987475.1099997</v>
      </c>
      <c r="J35">
        <v>13.87</v>
      </c>
      <c r="K35">
        <v>888941756</v>
      </c>
      <c r="L35">
        <v>2.12</v>
      </c>
    </row>
    <row r="36" spans="2:29" ht="15" thickBot="1" x14ac:dyDescent="0.4">
      <c r="B36" s="23">
        <v>26.386949771936749</v>
      </c>
      <c r="C36" s="24">
        <v>2.1760000000000002</v>
      </c>
      <c r="D36" s="25">
        <v>37.54</v>
      </c>
      <c r="E36" s="25">
        <v>58.59</v>
      </c>
      <c r="F36" s="25">
        <v>2.7810000000000001</v>
      </c>
      <c r="G36">
        <v>9.59</v>
      </c>
      <c r="H36">
        <v>8.84</v>
      </c>
      <c r="I36">
        <v>9538786025.1700001</v>
      </c>
      <c r="J36">
        <v>11.79</v>
      </c>
      <c r="K36">
        <v>907574049</v>
      </c>
      <c r="L36">
        <v>2.1</v>
      </c>
    </row>
    <row r="37" spans="2:29" ht="15" thickBot="1" x14ac:dyDescent="0.4">
      <c r="B37" s="23">
        <v>26.35553807058356</v>
      </c>
      <c r="C37" s="24">
        <v>2.5110000000000001</v>
      </c>
      <c r="D37" s="25">
        <v>37.29</v>
      </c>
      <c r="E37" s="25">
        <v>59.44</v>
      </c>
      <c r="F37" s="25">
        <v>3.2629999999999999</v>
      </c>
      <c r="G37">
        <v>9.82</v>
      </c>
      <c r="H37">
        <v>9.83</v>
      </c>
      <c r="I37">
        <v>14674627089.940001</v>
      </c>
      <c r="J37">
        <v>6.33</v>
      </c>
      <c r="K37">
        <v>926351297</v>
      </c>
      <c r="L37">
        <v>2.0699999999999998</v>
      </c>
    </row>
    <row r="38" spans="2:29" ht="15" thickBot="1" x14ac:dyDescent="0.4">
      <c r="B38" s="23">
        <v>26.514068416036146</v>
      </c>
      <c r="C38" s="24">
        <v>3.2120000000000002</v>
      </c>
      <c r="D38" s="25">
        <v>36.99</v>
      </c>
      <c r="E38" s="25">
        <v>60.3</v>
      </c>
      <c r="F38" s="25">
        <v>4.4130000000000003</v>
      </c>
      <c r="G38">
        <v>10.19</v>
      </c>
      <c r="H38">
        <v>9.89</v>
      </c>
      <c r="I38">
        <v>24220928468.82</v>
      </c>
      <c r="J38">
        <v>10.25</v>
      </c>
      <c r="K38">
        <v>945261958</v>
      </c>
      <c r="L38">
        <v>2.04</v>
      </c>
      <c r="U38" s="31"/>
      <c r="V38" s="31"/>
    </row>
    <row r="39" spans="2:29" ht="15" thickBot="1" x14ac:dyDescent="0.4">
      <c r="B39" s="23">
        <v>26.610152763845043</v>
      </c>
      <c r="C39" s="24">
        <v>5.0209999999999999</v>
      </c>
      <c r="D39" s="25">
        <v>36.65</v>
      </c>
      <c r="E39" s="25">
        <v>61.15</v>
      </c>
      <c r="F39" s="25">
        <v>5.3979999999999997</v>
      </c>
      <c r="G39">
        <v>12.02</v>
      </c>
      <c r="H39">
        <v>10.84</v>
      </c>
      <c r="I39">
        <v>22864636916.099998</v>
      </c>
      <c r="J39">
        <v>10.220000000000001</v>
      </c>
      <c r="K39">
        <v>964279129</v>
      </c>
      <c r="L39">
        <v>2.0099999999999998</v>
      </c>
    </row>
    <row r="40" spans="2:29" ht="15" thickBot="1" x14ac:dyDescent="0.4">
      <c r="B40" s="23">
        <v>26.696813466277504</v>
      </c>
      <c r="C40" s="24">
        <v>6.9009999999999998</v>
      </c>
      <c r="D40" s="25">
        <v>36.33</v>
      </c>
      <c r="E40" s="25">
        <v>62</v>
      </c>
      <c r="F40" s="25">
        <v>5.9989999999999997</v>
      </c>
      <c r="G40">
        <v>11.54</v>
      </c>
      <c r="H40">
        <v>10.39</v>
      </c>
      <c r="I40">
        <v>24889364657.41</v>
      </c>
      <c r="J40">
        <v>8.98</v>
      </c>
      <c r="K40">
        <v>983281218</v>
      </c>
      <c r="L40">
        <v>1.97</v>
      </c>
    </row>
    <row r="41" spans="2:29" ht="15" thickBot="1" x14ac:dyDescent="0.4">
      <c r="B41" s="23">
        <v>26.753633147301262</v>
      </c>
      <c r="C41" s="24">
        <v>8.2289999999999992</v>
      </c>
      <c r="D41" s="25">
        <v>35.97</v>
      </c>
      <c r="E41" s="25">
        <v>62.85</v>
      </c>
      <c r="F41" s="25">
        <v>5.843</v>
      </c>
      <c r="G41">
        <v>11.93</v>
      </c>
      <c r="H41">
        <v>10.69</v>
      </c>
      <c r="I41">
        <v>28385372945.860001</v>
      </c>
      <c r="J41">
        <v>7.16</v>
      </c>
      <c r="K41">
        <v>1002335230</v>
      </c>
      <c r="L41">
        <v>1.94</v>
      </c>
      <c r="U41" s="32"/>
      <c r="V41" s="32"/>
      <c r="W41" s="32"/>
      <c r="X41" s="32"/>
      <c r="Y41" s="32"/>
      <c r="Z41" s="32"/>
    </row>
    <row r="42" spans="2:29" ht="15.75" customHeight="1" thickBot="1" x14ac:dyDescent="0.4">
      <c r="B42" s="23">
        <v>26.76673318575585</v>
      </c>
      <c r="C42" s="24">
        <v>6.7069999999999999</v>
      </c>
      <c r="D42" s="25">
        <v>35.57</v>
      </c>
      <c r="E42" s="25">
        <v>63.45</v>
      </c>
      <c r="F42" s="25">
        <v>5.7240000000000002</v>
      </c>
      <c r="G42">
        <v>12.68</v>
      </c>
      <c r="H42">
        <v>11.02</v>
      </c>
      <c r="I42">
        <v>30646563663.48</v>
      </c>
      <c r="J42">
        <v>13.23</v>
      </c>
      <c r="K42">
        <v>1021434576</v>
      </c>
      <c r="L42">
        <v>1.91</v>
      </c>
    </row>
    <row r="43" spans="2:29" ht="24.75" customHeight="1" thickBot="1" x14ac:dyDescent="0.4">
      <c r="B43" s="23">
        <v>26.851924722819589</v>
      </c>
      <c r="C43" s="24">
        <v>2.62</v>
      </c>
      <c r="D43" s="25">
        <v>35.159999999999997</v>
      </c>
      <c r="E43" s="25">
        <v>64.05</v>
      </c>
      <c r="F43" s="25">
        <v>5.7889999999999997</v>
      </c>
      <c r="G43">
        <v>13.36</v>
      </c>
      <c r="H43">
        <v>11.45</v>
      </c>
      <c r="I43">
        <v>36005295926.440002</v>
      </c>
      <c r="J43">
        <v>4.67</v>
      </c>
      <c r="K43">
        <v>1040500054</v>
      </c>
      <c r="L43">
        <v>1.87</v>
      </c>
    </row>
    <row r="44" spans="2:29" ht="15" thickBot="1" x14ac:dyDescent="0.4">
      <c r="B44" s="23">
        <v>26.872577660034214</v>
      </c>
      <c r="C44" s="24">
        <v>6.3319999999999999</v>
      </c>
      <c r="D44" s="25">
        <v>34.729999999999997</v>
      </c>
      <c r="E44" s="25">
        <v>64.650000000000006</v>
      </c>
      <c r="F44" s="25">
        <v>5.8529999999999998</v>
      </c>
      <c r="G44">
        <v>13.9</v>
      </c>
      <c r="H44">
        <v>13</v>
      </c>
      <c r="I44">
        <v>41059061574.660004</v>
      </c>
      <c r="J44">
        <v>4.01</v>
      </c>
      <c r="K44">
        <v>1059633675</v>
      </c>
      <c r="L44">
        <v>1.84</v>
      </c>
      <c r="T44" t="s">
        <v>111</v>
      </c>
    </row>
    <row r="45" spans="2:29" ht="15" thickBot="1" x14ac:dyDescent="0.4">
      <c r="B45" s="23">
        <v>26.908323623040616</v>
      </c>
      <c r="C45" s="24">
        <v>8.2129999999999992</v>
      </c>
      <c r="D45" s="25">
        <v>34.36</v>
      </c>
      <c r="E45" s="25">
        <v>65.25</v>
      </c>
      <c r="F45" s="25">
        <v>5.7949999999999999</v>
      </c>
      <c r="G45">
        <v>13.43</v>
      </c>
      <c r="H45">
        <v>12.56</v>
      </c>
      <c r="I45">
        <v>49050841138.720001</v>
      </c>
      <c r="J45">
        <v>3.78</v>
      </c>
      <c r="K45">
        <v>1078970907</v>
      </c>
      <c r="L45">
        <v>1.82</v>
      </c>
    </row>
    <row r="46" spans="2:29" ht="15" thickBot="1" x14ac:dyDescent="0.4">
      <c r="B46" s="23">
        <v>26.967312242720016</v>
      </c>
      <c r="C46" s="24">
        <v>8.7720000000000002</v>
      </c>
      <c r="D46" s="25">
        <v>33.97</v>
      </c>
      <c r="E46" s="25">
        <v>65.849999999999994</v>
      </c>
      <c r="F46" s="25">
        <v>5.65</v>
      </c>
      <c r="G46">
        <v>15.24</v>
      </c>
      <c r="H46">
        <v>14.26</v>
      </c>
      <c r="I46">
        <v>71607865093.699997</v>
      </c>
      <c r="J46">
        <v>4.3</v>
      </c>
      <c r="K46">
        <v>1098313039</v>
      </c>
      <c r="L46">
        <v>1.79</v>
      </c>
      <c r="T46" s="34" t="s">
        <v>112</v>
      </c>
      <c r="U46" s="34"/>
      <c r="AC46" s="32"/>
    </row>
    <row r="47" spans="2:29" ht="15" thickBot="1" x14ac:dyDescent="0.4">
      <c r="B47" s="23">
        <v>27.132946000233598</v>
      </c>
      <c r="C47" s="24">
        <v>9.1880000000000006</v>
      </c>
      <c r="D47" s="25">
        <v>33.56</v>
      </c>
      <c r="E47" s="25">
        <v>66.42</v>
      </c>
      <c r="F47" s="25">
        <v>5.6440000000000001</v>
      </c>
      <c r="G47">
        <v>15.64</v>
      </c>
      <c r="H47">
        <v>14.95</v>
      </c>
      <c r="I47">
        <v>103737208055.97</v>
      </c>
      <c r="J47">
        <v>3.81</v>
      </c>
      <c r="K47">
        <v>1117415123</v>
      </c>
      <c r="L47">
        <v>1.74</v>
      </c>
      <c r="T47" t="s">
        <v>113</v>
      </c>
      <c r="U47">
        <v>0.99822095305492464</v>
      </c>
    </row>
    <row r="48" spans="2:29" ht="15" thickBot="1" x14ac:dyDescent="0.4">
      <c r="B48" s="23">
        <v>27.287330812353115</v>
      </c>
      <c r="C48" s="24">
        <v>13.452</v>
      </c>
      <c r="D48" s="25">
        <v>33.15</v>
      </c>
      <c r="E48" s="25">
        <v>66.989999999999995</v>
      </c>
      <c r="F48" s="25">
        <v>4.7249999999999996</v>
      </c>
      <c r="G48">
        <v>19.64</v>
      </c>
      <c r="H48">
        <v>17.86</v>
      </c>
      <c r="I48">
        <v>131631143125.85001</v>
      </c>
      <c r="J48">
        <v>3.77</v>
      </c>
      <c r="K48">
        <v>1136264583</v>
      </c>
      <c r="L48">
        <v>1.69</v>
      </c>
      <c r="T48" t="s">
        <v>114</v>
      </c>
      <c r="U48">
        <v>0.99644507111788205</v>
      </c>
    </row>
    <row r="49" spans="2:29" ht="15" thickBot="1" x14ac:dyDescent="0.4">
      <c r="B49" s="23">
        <v>27.433035429339736</v>
      </c>
      <c r="C49" s="24">
        <v>19.661000000000001</v>
      </c>
      <c r="D49" s="25">
        <v>32.74</v>
      </c>
      <c r="E49" s="25">
        <v>67.56</v>
      </c>
      <c r="F49" s="25">
        <v>4.7629999999999999</v>
      </c>
      <c r="G49">
        <v>22.4</v>
      </c>
      <c r="H49">
        <v>19.61</v>
      </c>
      <c r="I49">
        <v>137824828256.29001</v>
      </c>
      <c r="J49">
        <v>4.25</v>
      </c>
      <c r="K49">
        <v>1154638713</v>
      </c>
      <c r="L49">
        <v>1.62</v>
      </c>
      <c r="T49" t="s">
        <v>115</v>
      </c>
      <c r="U49">
        <v>0.99512843079117186</v>
      </c>
    </row>
    <row r="50" spans="2:29" ht="15" thickBot="1" x14ac:dyDescent="0.4">
      <c r="B50" s="23">
        <v>27.569422151436065</v>
      </c>
      <c r="C50" s="24">
        <v>23.242000000000001</v>
      </c>
      <c r="D50" s="25">
        <v>32.380000000000003</v>
      </c>
      <c r="E50" s="25">
        <v>68.14</v>
      </c>
      <c r="F50" s="25">
        <v>4.7960000000000003</v>
      </c>
      <c r="G50">
        <v>24.46</v>
      </c>
      <c r="H50">
        <v>21.27</v>
      </c>
      <c r="I50">
        <v>178049790065.97</v>
      </c>
      <c r="J50">
        <v>5.8</v>
      </c>
      <c r="K50">
        <v>1172373788</v>
      </c>
      <c r="L50">
        <v>1.54</v>
      </c>
      <c r="T50" t="s">
        <v>116</v>
      </c>
      <c r="U50">
        <v>6.1561858071480478E-2</v>
      </c>
    </row>
    <row r="51" spans="2:29" ht="15" thickBot="1" x14ac:dyDescent="0.4">
      <c r="B51" s="23">
        <v>27.827192520537938</v>
      </c>
      <c r="C51" s="24">
        <v>28.922000000000001</v>
      </c>
      <c r="D51" s="25">
        <v>32.01</v>
      </c>
      <c r="E51" s="25">
        <v>68.709999999999994</v>
      </c>
      <c r="F51" s="25">
        <v>4.8869999999999996</v>
      </c>
      <c r="G51">
        <v>24.89</v>
      </c>
      <c r="H51">
        <v>20.8</v>
      </c>
      <c r="I51">
        <v>276578100117.40997</v>
      </c>
      <c r="J51">
        <v>6.37</v>
      </c>
      <c r="K51">
        <v>1189691809</v>
      </c>
      <c r="L51">
        <v>1.48</v>
      </c>
      <c r="T51" s="31" t="s">
        <v>117</v>
      </c>
      <c r="U51" s="31">
        <v>38</v>
      </c>
    </row>
    <row r="52" spans="2:29" ht="15" thickBot="1" x14ac:dyDescent="0.4">
      <c r="B52" s="23">
        <v>27.812421900723301</v>
      </c>
      <c r="C52" s="24">
        <v>30.387</v>
      </c>
      <c r="D52" s="25">
        <v>31.64</v>
      </c>
      <c r="E52" s="25">
        <v>69.41</v>
      </c>
      <c r="F52" s="25">
        <v>4.9210000000000003</v>
      </c>
      <c r="G52">
        <v>29.27</v>
      </c>
      <c r="H52">
        <v>24.1</v>
      </c>
      <c r="I52">
        <v>257422725614.88</v>
      </c>
      <c r="J52">
        <v>8.35</v>
      </c>
      <c r="K52">
        <v>1206734806</v>
      </c>
      <c r="L52">
        <v>1.43</v>
      </c>
    </row>
    <row r="53" spans="2:29" ht="15" thickBot="1" x14ac:dyDescent="0.4">
      <c r="B53" s="23">
        <v>27.92509765224813</v>
      </c>
      <c r="C53" s="24">
        <v>27.024999999999999</v>
      </c>
      <c r="D53" s="25">
        <v>31.24</v>
      </c>
      <c r="E53" s="25">
        <v>70.11</v>
      </c>
      <c r="F53" s="25">
        <v>4.9550000000000001</v>
      </c>
      <c r="G53">
        <v>25.87</v>
      </c>
      <c r="H53">
        <v>20.399999999999999</v>
      </c>
      <c r="I53">
        <v>284682887897.59003</v>
      </c>
      <c r="J53">
        <v>10.88</v>
      </c>
      <c r="K53">
        <v>1223640160</v>
      </c>
      <c r="L53">
        <v>1.4</v>
      </c>
      <c r="T53" t="s">
        <v>118</v>
      </c>
    </row>
    <row r="54" spans="2:29" ht="15" thickBot="1" x14ac:dyDescent="0.4">
      <c r="B54" s="23">
        <v>28.147201578281397</v>
      </c>
      <c r="C54" s="24">
        <v>30.908999999999999</v>
      </c>
      <c r="D54" s="25">
        <v>30.81</v>
      </c>
      <c r="E54" s="25">
        <v>70.8</v>
      </c>
      <c r="F54" s="25">
        <v>5.0339999999999998</v>
      </c>
      <c r="G54">
        <v>26.85</v>
      </c>
      <c r="H54">
        <v>22.4</v>
      </c>
      <c r="I54">
        <v>300480168786.34998</v>
      </c>
      <c r="J54">
        <v>11.99</v>
      </c>
      <c r="K54">
        <v>1240613620</v>
      </c>
      <c r="L54">
        <v>1.39</v>
      </c>
      <c r="T54" s="33"/>
      <c r="U54" s="33" t="s">
        <v>119</v>
      </c>
      <c r="V54" s="33" t="s">
        <v>120</v>
      </c>
      <c r="W54" s="33" t="s">
        <v>121</v>
      </c>
      <c r="X54" s="33" t="s">
        <v>122</v>
      </c>
      <c r="Y54" s="33" t="s">
        <v>123</v>
      </c>
    </row>
    <row r="55" spans="2:29" ht="15" thickBot="1" x14ac:dyDescent="0.4">
      <c r="B55" s="23">
        <v>28.231531998946945</v>
      </c>
      <c r="C55" s="24">
        <v>33.450000000000003</v>
      </c>
      <c r="D55" s="25">
        <v>30.4</v>
      </c>
      <c r="E55" s="25">
        <v>71.5</v>
      </c>
      <c r="F55" s="25">
        <v>5.1120000000000001</v>
      </c>
      <c r="G55">
        <v>31.08</v>
      </c>
      <c r="H55">
        <v>24.54</v>
      </c>
      <c r="I55">
        <v>298739463090.87</v>
      </c>
      <c r="J55">
        <v>8.91</v>
      </c>
      <c r="K55">
        <v>1257621191</v>
      </c>
      <c r="L55">
        <v>1.37</v>
      </c>
      <c r="T55" t="s">
        <v>124</v>
      </c>
      <c r="U55">
        <v>10</v>
      </c>
      <c r="V55">
        <v>28.6820143771</v>
      </c>
      <c r="W55">
        <v>2.8682014377099998</v>
      </c>
      <c r="X55">
        <v>756.80886488379997</v>
      </c>
      <c r="Y55">
        <v>2.303927384102196E-30</v>
      </c>
    </row>
    <row r="56" spans="2:29" ht="15" thickBot="1" x14ac:dyDescent="0.4">
      <c r="B56" s="23">
        <v>28.234045461640768</v>
      </c>
      <c r="C56" s="24">
        <v>34.402000000000001</v>
      </c>
      <c r="D56" s="25">
        <v>29.93</v>
      </c>
      <c r="E56" s="25">
        <v>72.2</v>
      </c>
      <c r="F56" s="25">
        <v>5.1909999999999998</v>
      </c>
      <c r="G56">
        <v>31.26</v>
      </c>
      <c r="H56">
        <v>24.53</v>
      </c>
      <c r="I56">
        <v>300425517446.54999</v>
      </c>
      <c r="J56">
        <v>9.48</v>
      </c>
      <c r="K56">
        <v>1274487215</v>
      </c>
      <c r="L56">
        <v>1.34</v>
      </c>
      <c r="T56" t="s">
        <v>125</v>
      </c>
      <c r="U56">
        <v>27</v>
      </c>
      <c r="V56">
        <v>0.10232628396875387</v>
      </c>
      <c r="W56">
        <v>3.7898623692131064E-3</v>
      </c>
    </row>
    <row r="57" spans="2:29" ht="15" thickBot="1" x14ac:dyDescent="0.4">
      <c r="B57" s="23">
        <v>28.249833748650111</v>
      </c>
      <c r="C57" s="24">
        <v>32.362000000000002</v>
      </c>
      <c r="D57" s="25">
        <v>29.43</v>
      </c>
      <c r="E57" s="25">
        <v>72.599999999999994</v>
      </c>
      <c r="F57" s="25">
        <v>5.2939999999999996</v>
      </c>
      <c r="G57">
        <v>28.41</v>
      </c>
      <c r="H57">
        <v>25.43</v>
      </c>
      <c r="I57">
        <v>298092478740.58002</v>
      </c>
      <c r="J57">
        <v>10.02</v>
      </c>
      <c r="K57">
        <v>1291132063</v>
      </c>
      <c r="L57">
        <v>1.31</v>
      </c>
      <c r="T57" s="31" t="s">
        <v>126</v>
      </c>
      <c r="U57" s="31">
        <v>37</v>
      </c>
      <c r="V57" s="31">
        <v>28.784340661068754</v>
      </c>
      <c r="W57" s="31"/>
      <c r="X57" s="31"/>
      <c r="Y57" s="31"/>
    </row>
    <row r="58" spans="2:29" ht="15" thickBot="1" x14ac:dyDescent="0.4">
      <c r="B58" s="23">
        <v>28.343543109882685</v>
      </c>
      <c r="C58" s="24">
        <v>30.814</v>
      </c>
      <c r="D58" s="25">
        <v>28.93</v>
      </c>
      <c r="E58" s="25">
        <v>73</v>
      </c>
      <c r="F58" s="25">
        <v>5.5410000000000004</v>
      </c>
      <c r="G58">
        <v>25.95</v>
      </c>
      <c r="H58">
        <v>22.97</v>
      </c>
      <c r="I58">
        <v>325081035127.89001</v>
      </c>
      <c r="J58">
        <v>6.67</v>
      </c>
      <c r="K58">
        <v>1307246509</v>
      </c>
      <c r="L58">
        <v>1.25</v>
      </c>
      <c r="AC58" s="31"/>
    </row>
    <row r="59" spans="2:29" ht="15" thickBot="1" x14ac:dyDescent="0.4">
      <c r="B59" s="23">
        <v>28.374665485629396</v>
      </c>
      <c r="C59" s="24">
        <v>33.079000000000001</v>
      </c>
      <c r="D59" s="25">
        <v>28.44</v>
      </c>
      <c r="E59" s="25">
        <v>73.41</v>
      </c>
      <c r="F59" s="25">
        <v>5.835</v>
      </c>
      <c r="G59">
        <v>22.11</v>
      </c>
      <c r="H59">
        <v>19.809999999999999</v>
      </c>
      <c r="I59">
        <v>353319061013.21997</v>
      </c>
      <c r="J59">
        <v>4.91</v>
      </c>
      <c r="K59">
        <v>1322866505</v>
      </c>
      <c r="L59">
        <v>1.19</v>
      </c>
      <c r="T59" s="33"/>
      <c r="U59" s="33" t="s">
        <v>127</v>
      </c>
      <c r="V59" s="33" t="s">
        <v>116</v>
      </c>
      <c r="W59" s="33" t="s">
        <v>128</v>
      </c>
      <c r="X59" s="33" t="s">
        <v>129</v>
      </c>
      <c r="Y59" s="33" t="s">
        <v>130</v>
      </c>
      <c r="Z59" s="33" t="s">
        <v>131</v>
      </c>
      <c r="AA59" s="33" t="s">
        <v>132</v>
      </c>
      <c r="AB59" s="33" t="s">
        <v>133</v>
      </c>
    </row>
    <row r="60" spans="2:29" ht="15" thickBot="1" x14ac:dyDescent="0.4">
      <c r="B60" s="23">
        <v>28.461665929644546</v>
      </c>
      <c r="C60" s="24">
        <v>31.858000000000001</v>
      </c>
      <c r="D60" s="25">
        <v>27.93</v>
      </c>
      <c r="E60" s="25">
        <v>73.81</v>
      </c>
      <c r="F60" s="25">
        <v>5.82</v>
      </c>
      <c r="G60">
        <v>20.92</v>
      </c>
      <c r="H60">
        <v>19.16</v>
      </c>
      <c r="I60">
        <v>361694321972.03998</v>
      </c>
      <c r="J60">
        <v>4.95</v>
      </c>
      <c r="K60">
        <v>1338636340</v>
      </c>
      <c r="L60">
        <v>1.19</v>
      </c>
      <c r="T60" t="s">
        <v>134</v>
      </c>
      <c r="U60">
        <v>27.818689471604046</v>
      </c>
      <c r="V60">
        <v>3.0368771484414174</v>
      </c>
      <c r="W60">
        <v>9.1602946421066527</v>
      </c>
      <c r="X60">
        <v>9.0026084994433717E-10</v>
      </c>
      <c r="Y60">
        <v>21.587532263630315</v>
      </c>
      <c r="Z60">
        <v>34.049846679577776</v>
      </c>
      <c r="AA60">
        <v>21.587532263630315</v>
      </c>
      <c r="AB60">
        <v>34.049846679577776</v>
      </c>
    </row>
    <row r="61" spans="2:29" ht="15" thickBot="1" x14ac:dyDescent="0.4">
      <c r="B61" s="23">
        <v>28.606136430331777</v>
      </c>
      <c r="C61" s="24">
        <v>31.620999999999999</v>
      </c>
      <c r="D61" s="25">
        <v>27.48</v>
      </c>
      <c r="E61" s="25">
        <v>74.209999999999994</v>
      </c>
      <c r="F61" s="25">
        <v>5.6150000000000002</v>
      </c>
      <c r="G61">
        <v>21.95</v>
      </c>
      <c r="H61">
        <v>18.79</v>
      </c>
      <c r="I61">
        <v>412613792019.91998</v>
      </c>
      <c r="J61">
        <v>3.33</v>
      </c>
      <c r="K61">
        <v>1354195680</v>
      </c>
      <c r="L61">
        <v>1.1599999999999999</v>
      </c>
      <c r="T61" t="s">
        <v>135</v>
      </c>
      <c r="U61">
        <v>2.3892382793627768E-2</v>
      </c>
      <c r="V61">
        <v>6.7103400034038904E-3</v>
      </c>
      <c r="W61">
        <v>3.5605323696724915</v>
      </c>
      <c r="X61">
        <v>1.3975652491228091E-3</v>
      </c>
      <c r="Y61">
        <v>1.012390239868524E-2</v>
      </c>
      <c r="Z61">
        <v>3.7660863188570294E-2</v>
      </c>
      <c r="AA61">
        <v>1.012390239868524E-2</v>
      </c>
      <c r="AB61">
        <v>3.7660863188570294E-2</v>
      </c>
    </row>
    <row r="62" spans="2:29" ht="15" thickBot="1" x14ac:dyDescent="0.4">
      <c r="B62" s="23">
        <v>28.625357381760317</v>
      </c>
      <c r="C62" s="24">
        <v>33.765999999999998</v>
      </c>
      <c r="D62" s="25">
        <v>27.05</v>
      </c>
      <c r="E62" s="25">
        <v>74.59</v>
      </c>
      <c r="F62" s="25">
        <v>5.0650000000000004</v>
      </c>
      <c r="G62">
        <v>23.69</v>
      </c>
      <c r="H62">
        <v>19.93</v>
      </c>
      <c r="I62">
        <v>399167159226.67999</v>
      </c>
      <c r="J62">
        <v>3.94</v>
      </c>
      <c r="K62">
        <v>1369003306</v>
      </c>
      <c r="L62">
        <v>1.0900000000000001</v>
      </c>
      <c r="T62" t="s">
        <v>136</v>
      </c>
      <c r="U62">
        <v>-0.10370288358694101</v>
      </c>
      <c r="V62">
        <v>4.4110669196743682E-2</v>
      </c>
      <c r="W62">
        <v>-2.3509705355954225</v>
      </c>
      <c r="X62">
        <v>2.6279054520808177E-2</v>
      </c>
      <c r="Y62">
        <v>-0.19421050074718663</v>
      </c>
      <c r="Z62">
        <v>-1.3195266426695385E-2</v>
      </c>
      <c r="AA62">
        <v>-0.19421050074718663</v>
      </c>
      <c r="AB62">
        <v>-1.3195266426695385E-2</v>
      </c>
    </row>
    <row r="63" spans="2:29" ht="15" thickBot="1" x14ac:dyDescent="0.4">
      <c r="B63" s="23">
        <v>28.671846165741808</v>
      </c>
      <c r="C63" s="24">
        <v>34.173000000000002</v>
      </c>
      <c r="D63" s="25">
        <v>26.62</v>
      </c>
      <c r="E63" s="25">
        <v>74.98</v>
      </c>
      <c r="F63" s="25">
        <v>5.2149999999999999</v>
      </c>
      <c r="G63">
        <v>21.27</v>
      </c>
      <c r="H63">
        <v>18.690000000000001</v>
      </c>
      <c r="I63">
        <v>463469902152.51001</v>
      </c>
      <c r="J63">
        <v>3.73</v>
      </c>
      <c r="K63">
        <v>1383112050</v>
      </c>
      <c r="L63">
        <v>1.03</v>
      </c>
      <c r="T63" t="s">
        <v>137</v>
      </c>
      <c r="U63">
        <v>-0.12383811807091125</v>
      </c>
      <c r="V63">
        <v>6.5919859492029179E-2</v>
      </c>
      <c r="W63">
        <v>-1.8786162322734525</v>
      </c>
      <c r="X63">
        <v>7.1134537891110225E-2</v>
      </c>
      <c r="Y63">
        <v>-0.25909449741874935</v>
      </c>
      <c r="Z63">
        <v>1.1418261276926855E-2</v>
      </c>
      <c r="AA63">
        <v>-0.25909449741874935</v>
      </c>
      <c r="AB63">
        <v>1.1418261276926855E-2</v>
      </c>
    </row>
    <row r="64" spans="2:29" ht="15" thickBot="1" x14ac:dyDescent="0.4">
      <c r="B64" s="23">
        <v>28.612233277545126</v>
      </c>
      <c r="C64" s="24">
        <v>33.630000000000003</v>
      </c>
      <c r="D64" s="25">
        <v>26.16</v>
      </c>
      <c r="E64" s="25">
        <v>75.37</v>
      </c>
      <c r="F64" s="25">
        <v>5.2149999999999999</v>
      </c>
      <c r="G64">
        <v>19.100000000000001</v>
      </c>
      <c r="H64">
        <v>18.71</v>
      </c>
      <c r="I64">
        <v>590227359928.90002</v>
      </c>
      <c r="J64">
        <v>6.62</v>
      </c>
      <c r="K64">
        <v>1396387127</v>
      </c>
      <c r="L64">
        <v>0.96</v>
      </c>
      <c r="T64" t="s">
        <v>138</v>
      </c>
      <c r="U64">
        <v>1.9303812449909384E-2</v>
      </c>
      <c r="V64">
        <v>3.0398897460401839E-2</v>
      </c>
      <c r="W64">
        <v>0.63501686122185463</v>
      </c>
      <c r="X64">
        <v>0.53076248020348959</v>
      </c>
      <c r="Y64">
        <v>-4.3069573026698171E-2</v>
      </c>
      <c r="Z64">
        <v>8.167719792651694E-2</v>
      </c>
      <c r="AA64">
        <v>-4.3069573026698171E-2</v>
      </c>
      <c r="AB64">
        <v>8.167719792651694E-2</v>
      </c>
    </row>
    <row r="65" spans="2:28" ht="15" thickBot="1" x14ac:dyDescent="0.4">
      <c r="C65" s="23"/>
      <c r="D65" s="24"/>
      <c r="E65" s="25"/>
      <c r="F65" s="25"/>
      <c r="G65" s="25"/>
      <c r="T65" t="s">
        <v>139</v>
      </c>
      <c r="U65">
        <v>3.5503274837431306E-2</v>
      </c>
      <c r="V65">
        <v>1.2552104344871032E-2</v>
      </c>
      <c r="W65">
        <v>2.8284719328308041</v>
      </c>
      <c r="X65">
        <v>8.710398580264107E-3</v>
      </c>
      <c r="Y65">
        <v>9.7484840965801345E-3</v>
      </c>
      <c r="Z65">
        <v>6.1258065578282478E-2</v>
      </c>
      <c r="AA65">
        <v>9.7484840965801345E-3</v>
      </c>
      <c r="AB65">
        <v>6.1258065578282478E-2</v>
      </c>
    </row>
    <row r="66" spans="2:28" x14ac:dyDescent="0.35">
      <c r="T66" t="s">
        <v>140</v>
      </c>
      <c r="U66">
        <v>-4.8595075494074692E-2</v>
      </c>
      <c r="V66">
        <v>1.6030005055268023E-2</v>
      </c>
      <c r="W66">
        <v>-3.0315071845909771</v>
      </c>
      <c r="X66">
        <v>5.3178606425186119E-3</v>
      </c>
      <c r="Y66">
        <v>-8.1485929045806871E-2</v>
      </c>
      <c r="Z66">
        <v>-1.5704221942342514E-2</v>
      </c>
      <c r="AA66">
        <v>-8.1485929045806871E-2</v>
      </c>
      <c r="AB66">
        <v>-1.5704221942342514E-2</v>
      </c>
    </row>
    <row r="67" spans="2:28" x14ac:dyDescent="0.35">
      <c r="T67" t="s">
        <v>141</v>
      </c>
      <c r="U67">
        <v>3.0793084126958565E-13</v>
      </c>
      <c r="V67" s="35">
        <v>5.5891618032346666E-13</v>
      </c>
      <c r="W67">
        <v>0.55094279269455759</v>
      </c>
      <c r="X67">
        <v>0.58620336752229318</v>
      </c>
      <c r="Y67">
        <v>-8.3887043367270163E-13</v>
      </c>
      <c r="Z67">
        <v>1.4547321162118728E-12</v>
      </c>
      <c r="AA67">
        <v>-8.3887043367270163E-13</v>
      </c>
      <c r="AB67">
        <v>1.4547321162118728E-12</v>
      </c>
    </row>
    <row r="68" spans="2:28" x14ac:dyDescent="0.35">
      <c r="T68" t="s">
        <v>142</v>
      </c>
      <c r="U68">
        <v>9.1315834175146743E-3</v>
      </c>
      <c r="V68">
        <v>5.2203173810666872E-3</v>
      </c>
      <c r="W68">
        <v>1.749239126845729</v>
      </c>
      <c r="X68">
        <v>9.1610520684648991E-2</v>
      </c>
      <c r="Y68">
        <v>-1.5796230906704005E-3</v>
      </c>
      <c r="Z68">
        <v>1.9842789925699749E-2</v>
      </c>
      <c r="AA68">
        <v>-1.5796230906704005E-3</v>
      </c>
      <c r="AB68">
        <v>1.9842789925699749E-2</v>
      </c>
    </row>
    <row r="69" spans="2:28" x14ac:dyDescent="0.35">
      <c r="T69" t="s">
        <v>143</v>
      </c>
      <c r="U69">
        <v>7.7341451921092346E-9</v>
      </c>
      <c r="V69">
        <v>2.5073692352312803E-9</v>
      </c>
      <c r="W69">
        <v>3.0845657206908479</v>
      </c>
      <c r="X69">
        <v>4.6651751062961036E-3</v>
      </c>
      <c r="Y69">
        <v>2.5894484791778572E-9</v>
      </c>
      <c r="Z69">
        <v>1.2878841905040612E-8</v>
      </c>
      <c r="AA69">
        <v>2.5894484791778572E-9</v>
      </c>
      <c r="AB69">
        <v>1.2878841905040612E-8</v>
      </c>
    </row>
    <row r="70" spans="2:28" ht="15" thickBot="1" x14ac:dyDescent="0.4">
      <c r="T70" s="31" t="s">
        <v>144</v>
      </c>
      <c r="U70" s="31">
        <v>1.2337738779596783</v>
      </c>
      <c r="V70" s="31">
        <v>0.65476777657691854</v>
      </c>
      <c r="W70" s="31">
        <v>1.8842922973542839</v>
      </c>
      <c r="X70" s="31">
        <v>7.0334850006973856E-2</v>
      </c>
      <c r="Y70" s="31">
        <v>-0.10969862722878898</v>
      </c>
      <c r="Z70" s="31">
        <v>2.5772463831481458</v>
      </c>
      <c r="AA70" s="31">
        <v>-0.10969862722878898</v>
      </c>
      <c r="AB70" s="31">
        <v>2.5772463831481458</v>
      </c>
    </row>
    <row r="72" spans="2:28" ht="15" thickBot="1" x14ac:dyDescent="0.4">
      <c r="B72" t="s">
        <v>60</v>
      </c>
      <c r="C72" t="s">
        <v>61</v>
      </c>
      <c r="D72" t="s">
        <v>62</v>
      </c>
      <c r="E72" t="s">
        <v>63</v>
      </c>
      <c r="F72" t="s">
        <v>64</v>
      </c>
      <c r="G72" t="s">
        <v>65</v>
      </c>
      <c r="H72" t="s">
        <v>66</v>
      </c>
      <c r="I72" t="s">
        <v>68</v>
      </c>
      <c r="J72" t="s">
        <v>69</v>
      </c>
      <c r="K72" t="s">
        <v>70</v>
      </c>
    </row>
    <row r="73" spans="2:28" ht="15" thickBot="1" x14ac:dyDescent="0.4">
      <c r="B73" s="23">
        <v>26.108963265626635</v>
      </c>
      <c r="C73" s="24">
        <v>1.948</v>
      </c>
      <c r="D73" s="25">
        <v>39.020000000000003</v>
      </c>
      <c r="E73" s="25">
        <v>52.1</v>
      </c>
      <c r="F73" s="25">
        <v>1.151</v>
      </c>
      <c r="G73">
        <v>7.85</v>
      </c>
      <c r="H73">
        <v>5.84</v>
      </c>
      <c r="I73">
        <v>11.87</v>
      </c>
      <c r="J73">
        <v>745826546</v>
      </c>
      <c r="K73">
        <v>2.2799999999999998</v>
      </c>
      <c r="T73" t="s">
        <v>145</v>
      </c>
    </row>
    <row r="74" spans="2:28" ht="15" thickBot="1" x14ac:dyDescent="0.4">
      <c r="B74" s="23">
        <v>26.080598220791387</v>
      </c>
      <c r="C74" s="24">
        <v>2.2909999999999999</v>
      </c>
      <c r="D74" s="25">
        <v>38.909999999999997</v>
      </c>
      <c r="E74" s="25">
        <v>52.6</v>
      </c>
      <c r="F74" s="25">
        <v>1.2949999999999999</v>
      </c>
      <c r="G74">
        <v>7.73</v>
      </c>
      <c r="H74">
        <v>6.28</v>
      </c>
      <c r="I74">
        <v>8.32</v>
      </c>
      <c r="J74">
        <v>762895156</v>
      </c>
      <c r="K74">
        <v>2.29</v>
      </c>
      <c r="T74" t="s">
        <v>146</v>
      </c>
    </row>
    <row r="75" spans="2:28" ht="15" thickBot="1" x14ac:dyDescent="0.4">
      <c r="B75" s="23">
        <v>26.172207148160084</v>
      </c>
      <c r="C75" s="24">
        <v>2.4929999999999999</v>
      </c>
      <c r="D75" s="25">
        <v>38.75</v>
      </c>
      <c r="E75" s="25">
        <v>53.11</v>
      </c>
      <c r="F75" s="25">
        <v>1.5289999999999999</v>
      </c>
      <c r="G75">
        <v>7.65</v>
      </c>
      <c r="H75">
        <v>5.25</v>
      </c>
      <c r="I75">
        <v>5.56</v>
      </c>
      <c r="J75">
        <v>780242084</v>
      </c>
      <c r="K75">
        <v>2.27</v>
      </c>
      <c r="T75" t="s">
        <v>147</v>
      </c>
    </row>
    <row r="76" spans="2:28" ht="15" thickBot="1" x14ac:dyDescent="0.4">
      <c r="B76" s="23">
        <v>26.240662482996122</v>
      </c>
      <c r="C76" s="24">
        <v>2.4969999999999999</v>
      </c>
      <c r="D76" s="25">
        <v>38.71</v>
      </c>
      <c r="E76" s="25">
        <v>53.62</v>
      </c>
      <c r="F76" s="25">
        <v>1.911</v>
      </c>
      <c r="G76">
        <v>7.02</v>
      </c>
      <c r="H76">
        <v>5.2</v>
      </c>
      <c r="I76">
        <v>8.73</v>
      </c>
      <c r="J76">
        <v>797878993</v>
      </c>
      <c r="K76">
        <v>2.2599999999999998</v>
      </c>
    </row>
    <row r="77" spans="2:28" ht="15" thickBot="1" x14ac:dyDescent="0.4">
      <c r="B77" s="23">
        <v>26.35459798461391</v>
      </c>
      <c r="C77" s="24">
        <v>2.52</v>
      </c>
      <c r="D77" s="25">
        <v>38.58</v>
      </c>
      <c r="E77" s="25">
        <v>54.12</v>
      </c>
      <c r="F77" s="25">
        <v>2.0950000000000002</v>
      </c>
      <c r="G77">
        <v>6.98</v>
      </c>
      <c r="H77">
        <v>5.6</v>
      </c>
      <c r="I77">
        <v>8.8000000000000007</v>
      </c>
      <c r="J77">
        <v>815716125</v>
      </c>
      <c r="K77">
        <v>2.2400000000000002</v>
      </c>
      <c r="U77" s="30"/>
      <c r="V77" s="30"/>
    </row>
    <row r="78" spans="2:28" ht="15" thickBot="1" x14ac:dyDescent="0.4">
      <c r="B78" s="23">
        <v>26.415613161485624</v>
      </c>
      <c r="C78" s="24">
        <v>2.504</v>
      </c>
      <c r="D78" s="25">
        <v>38.4</v>
      </c>
      <c r="E78" s="25">
        <v>55.02</v>
      </c>
      <c r="F78" s="25">
        <v>2.2400000000000002</v>
      </c>
      <c r="G78">
        <v>7.46</v>
      </c>
      <c r="H78">
        <v>6.04</v>
      </c>
      <c r="I78">
        <v>9.3800000000000008</v>
      </c>
      <c r="J78">
        <v>833729681</v>
      </c>
      <c r="K78">
        <v>2.21</v>
      </c>
    </row>
    <row r="79" spans="2:28" ht="15" thickBot="1" x14ac:dyDescent="0.4">
      <c r="B79" s="23">
        <v>26.413768372199044</v>
      </c>
      <c r="C79" s="24">
        <v>2.6</v>
      </c>
      <c r="D79" s="25">
        <v>38.19</v>
      </c>
      <c r="E79" s="25">
        <v>55.91</v>
      </c>
      <c r="F79" s="25">
        <v>2.407</v>
      </c>
      <c r="G79">
        <v>8.15</v>
      </c>
      <c r="H79">
        <v>7.02</v>
      </c>
      <c r="I79">
        <v>7.07</v>
      </c>
      <c r="J79">
        <v>852012673</v>
      </c>
      <c r="K79">
        <v>2.19</v>
      </c>
    </row>
    <row r="80" spans="2:28" ht="15" thickBot="1" x14ac:dyDescent="0.4">
      <c r="B80" s="23">
        <v>26.494641619686462</v>
      </c>
      <c r="C80" s="24">
        <v>2.673</v>
      </c>
      <c r="D80" s="25">
        <v>37.97</v>
      </c>
      <c r="E80" s="25">
        <v>56.8</v>
      </c>
      <c r="F80" s="25">
        <v>2.4350000000000001</v>
      </c>
      <c r="G80">
        <v>8.4499999999999993</v>
      </c>
      <c r="H80">
        <v>7.05</v>
      </c>
      <c r="I80">
        <v>8.9700000000000006</v>
      </c>
      <c r="J80">
        <v>870452165</v>
      </c>
      <c r="K80">
        <v>2.16</v>
      </c>
    </row>
    <row r="81" spans="2:29" ht="15" thickBot="1" x14ac:dyDescent="0.4">
      <c r="B81" s="23">
        <v>26.322077874962332</v>
      </c>
      <c r="C81" s="24">
        <v>2.3279999999999998</v>
      </c>
      <c r="D81" s="25">
        <v>37.770000000000003</v>
      </c>
      <c r="E81" s="25">
        <v>57.7</v>
      </c>
      <c r="F81" s="25">
        <v>2.556</v>
      </c>
      <c r="G81">
        <v>8.49</v>
      </c>
      <c r="H81">
        <v>8.49</v>
      </c>
      <c r="I81">
        <v>13.87</v>
      </c>
      <c r="J81">
        <v>888941756</v>
      </c>
      <c r="K81">
        <v>2.12</v>
      </c>
    </row>
    <row r="82" spans="2:29" ht="15" thickBot="1" x14ac:dyDescent="0.4">
      <c r="B82" s="23">
        <v>26.386949771936749</v>
      </c>
      <c r="C82" s="24">
        <v>2.1760000000000002</v>
      </c>
      <c r="D82" s="25">
        <v>37.54</v>
      </c>
      <c r="E82" s="25">
        <v>58.59</v>
      </c>
      <c r="F82" s="25">
        <v>2.7810000000000001</v>
      </c>
      <c r="G82">
        <v>9.59</v>
      </c>
      <c r="H82">
        <v>8.84</v>
      </c>
      <c r="I82">
        <v>11.79</v>
      </c>
      <c r="J82">
        <v>907574049</v>
      </c>
      <c r="K82">
        <v>2.1</v>
      </c>
      <c r="U82" s="31"/>
      <c r="V82" s="31"/>
    </row>
    <row r="83" spans="2:29" ht="15" thickBot="1" x14ac:dyDescent="0.4">
      <c r="B83" s="23">
        <v>26.35553807058356</v>
      </c>
      <c r="C83" s="24">
        <v>2.5110000000000001</v>
      </c>
      <c r="D83" s="25">
        <v>37.29</v>
      </c>
      <c r="E83" s="25">
        <v>59.44</v>
      </c>
      <c r="F83" s="25">
        <v>3.2629999999999999</v>
      </c>
      <c r="G83">
        <v>9.82</v>
      </c>
      <c r="H83">
        <v>9.83</v>
      </c>
      <c r="I83">
        <v>6.33</v>
      </c>
      <c r="J83">
        <v>926351297</v>
      </c>
      <c r="K83">
        <v>2.0699999999999998</v>
      </c>
    </row>
    <row r="84" spans="2:29" ht="15" thickBot="1" x14ac:dyDescent="0.4">
      <c r="B84" s="23">
        <v>26.514068416036146</v>
      </c>
      <c r="C84" s="24">
        <v>3.2120000000000002</v>
      </c>
      <c r="D84" s="25">
        <v>36.99</v>
      </c>
      <c r="E84" s="25">
        <v>60.3</v>
      </c>
      <c r="F84" s="25">
        <v>4.4130000000000003</v>
      </c>
      <c r="G84">
        <v>10.19</v>
      </c>
      <c r="H84">
        <v>9.89</v>
      </c>
      <c r="I84">
        <v>10.25</v>
      </c>
      <c r="J84">
        <v>945261958</v>
      </c>
      <c r="K84">
        <v>2.04</v>
      </c>
    </row>
    <row r="85" spans="2:29" ht="15" thickBot="1" x14ac:dyDescent="0.4">
      <c r="B85" s="23">
        <v>26.610152763845043</v>
      </c>
      <c r="C85" s="24">
        <v>5.0209999999999999</v>
      </c>
      <c r="D85" s="25">
        <v>36.65</v>
      </c>
      <c r="E85" s="25">
        <v>61.15</v>
      </c>
      <c r="F85" s="25">
        <v>5.3979999999999997</v>
      </c>
      <c r="G85">
        <v>12.02</v>
      </c>
      <c r="H85">
        <v>10.84</v>
      </c>
      <c r="I85">
        <v>10.220000000000001</v>
      </c>
      <c r="J85">
        <v>964279129</v>
      </c>
      <c r="K85">
        <v>2.0099999999999998</v>
      </c>
      <c r="U85" s="32"/>
      <c r="V85" s="32"/>
      <c r="W85" s="32"/>
      <c r="X85" s="32"/>
      <c r="Y85" s="32"/>
      <c r="Z85" s="32"/>
    </row>
    <row r="86" spans="2:29" ht="15" thickBot="1" x14ac:dyDescent="0.4">
      <c r="B86" s="23">
        <v>26.696813466277504</v>
      </c>
      <c r="C86" s="24">
        <v>6.9009999999999998</v>
      </c>
      <c r="D86" s="25">
        <v>36.33</v>
      </c>
      <c r="E86" s="25">
        <v>62</v>
      </c>
      <c r="F86" s="25">
        <v>5.9989999999999997</v>
      </c>
      <c r="G86">
        <v>11.54</v>
      </c>
      <c r="H86">
        <v>10.39</v>
      </c>
      <c r="I86">
        <v>8.98</v>
      </c>
      <c r="J86">
        <v>983281218</v>
      </c>
      <c r="K86">
        <v>1.97</v>
      </c>
    </row>
    <row r="87" spans="2:29" ht="15" thickBot="1" x14ac:dyDescent="0.4">
      <c r="B87" s="23">
        <v>26.753633147301262</v>
      </c>
      <c r="C87" s="24">
        <v>8.2289999999999992</v>
      </c>
      <c r="D87" s="25">
        <v>35.97</v>
      </c>
      <c r="E87" s="25">
        <v>62.85</v>
      </c>
      <c r="F87" s="25">
        <v>5.843</v>
      </c>
      <c r="G87">
        <v>11.93</v>
      </c>
      <c r="H87">
        <v>10.69</v>
      </c>
      <c r="I87">
        <v>7.16</v>
      </c>
      <c r="J87">
        <v>1002335230</v>
      </c>
      <c r="K87">
        <v>1.94</v>
      </c>
    </row>
    <row r="88" spans="2:29" ht="15" thickBot="1" x14ac:dyDescent="0.4">
      <c r="B88" s="23">
        <v>26.76673318575585</v>
      </c>
      <c r="C88" s="24">
        <v>6.7069999999999999</v>
      </c>
      <c r="D88" s="25">
        <v>35.57</v>
      </c>
      <c r="E88" s="25">
        <v>63.45</v>
      </c>
      <c r="F88" s="25">
        <v>5.7240000000000002</v>
      </c>
      <c r="G88">
        <v>12.68</v>
      </c>
      <c r="H88">
        <v>11.02</v>
      </c>
      <c r="I88">
        <v>13.23</v>
      </c>
      <c r="J88">
        <v>1021434576</v>
      </c>
      <c r="K88">
        <v>1.91</v>
      </c>
      <c r="U88" s="31"/>
      <c r="V88" s="31"/>
      <c r="W88" s="31"/>
      <c r="X88" s="31"/>
      <c r="Y88" s="31"/>
      <c r="Z88" s="31"/>
    </row>
    <row r="89" spans="2:29" ht="15" thickBot="1" x14ac:dyDescent="0.4">
      <c r="B89" s="23">
        <v>26.851924722819589</v>
      </c>
      <c r="C89" s="24">
        <v>2.62</v>
      </c>
      <c r="D89" s="25">
        <v>35.159999999999997</v>
      </c>
      <c r="E89" s="25">
        <v>64.05</v>
      </c>
      <c r="F89" s="25">
        <v>5.7889999999999997</v>
      </c>
      <c r="G89">
        <v>13.36</v>
      </c>
      <c r="H89">
        <v>11.45</v>
      </c>
      <c r="I89">
        <v>4.67</v>
      </c>
      <c r="J89">
        <v>1040500054</v>
      </c>
      <c r="K89">
        <v>1.87</v>
      </c>
    </row>
    <row r="90" spans="2:29" ht="15" thickBot="1" x14ac:dyDescent="0.4">
      <c r="B90" s="23">
        <v>26.872577660034214</v>
      </c>
      <c r="C90" s="24">
        <v>6.3319999999999999</v>
      </c>
      <c r="D90" s="25">
        <v>34.729999999999997</v>
      </c>
      <c r="E90" s="25">
        <v>64.650000000000006</v>
      </c>
      <c r="F90" s="25">
        <v>5.8529999999999998</v>
      </c>
      <c r="G90">
        <v>13.9</v>
      </c>
      <c r="H90">
        <v>13</v>
      </c>
      <c r="I90">
        <v>4.01</v>
      </c>
      <c r="J90">
        <v>1059633675</v>
      </c>
      <c r="K90">
        <v>1.84</v>
      </c>
      <c r="U90" s="32"/>
      <c r="V90" s="32"/>
      <c r="W90" s="32"/>
      <c r="X90" s="32"/>
      <c r="Y90" s="32"/>
      <c r="Z90" s="32"/>
      <c r="AA90" s="32"/>
      <c r="AB90" s="32"/>
      <c r="AC90" s="32"/>
    </row>
    <row r="91" spans="2:29" ht="15" thickBot="1" x14ac:dyDescent="0.4">
      <c r="B91" s="23">
        <v>26.908323623040616</v>
      </c>
      <c r="C91" s="24">
        <v>8.2129999999999992</v>
      </c>
      <c r="D91" s="25">
        <v>34.36</v>
      </c>
      <c r="E91" s="25">
        <v>65.25</v>
      </c>
      <c r="F91" s="25">
        <v>5.7949999999999999</v>
      </c>
      <c r="G91">
        <v>13.43</v>
      </c>
      <c r="H91">
        <v>12.56</v>
      </c>
      <c r="I91">
        <v>3.78</v>
      </c>
      <c r="J91">
        <v>1078970907</v>
      </c>
      <c r="K91">
        <v>1.82</v>
      </c>
    </row>
    <row r="92" spans="2:29" ht="15" thickBot="1" x14ac:dyDescent="0.4">
      <c r="B92" s="23">
        <v>26.967312242720016</v>
      </c>
      <c r="C92" s="24">
        <v>8.7720000000000002</v>
      </c>
      <c r="D92" s="25">
        <v>33.97</v>
      </c>
      <c r="E92" s="25">
        <v>65.849999999999994</v>
      </c>
      <c r="F92" s="25">
        <v>5.65</v>
      </c>
      <c r="G92">
        <v>15.24</v>
      </c>
      <c r="H92">
        <v>14.26</v>
      </c>
      <c r="I92">
        <v>4.3</v>
      </c>
      <c r="J92">
        <v>1098313039</v>
      </c>
      <c r="K92">
        <v>1.79</v>
      </c>
    </row>
    <row r="93" spans="2:29" ht="15" thickBot="1" x14ac:dyDescent="0.4">
      <c r="B93" s="23">
        <v>27.132946000233598</v>
      </c>
      <c r="C93" s="24">
        <v>9.1880000000000006</v>
      </c>
      <c r="D93" s="25">
        <v>33.56</v>
      </c>
      <c r="E93" s="25">
        <v>66.42</v>
      </c>
      <c r="F93" s="25">
        <v>5.6440000000000001</v>
      </c>
      <c r="G93">
        <v>15.64</v>
      </c>
      <c r="H93">
        <v>14.95</v>
      </c>
      <c r="I93">
        <v>3.81</v>
      </c>
      <c r="J93">
        <v>1117415123</v>
      </c>
      <c r="K93">
        <v>1.74</v>
      </c>
    </row>
    <row r="94" spans="2:29" ht="15" thickBot="1" x14ac:dyDescent="0.4">
      <c r="B94" s="23">
        <v>27.287330812353115</v>
      </c>
      <c r="C94" s="24">
        <v>13.452</v>
      </c>
      <c r="D94" s="25">
        <v>33.15</v>
      </c>
      <c r="E94" s="25">
        <v>66.989999999999995</v>
      </c>
      <c r="F94" s="25">
        <v>4.7249999999999996</v>
      </c>
      <c r="G94">
        <v>19.64</v>
      </c>
      <c r="H94">
        <v>17.86</v>
      </c>
      <c r="I94">
        <v>3.77</v>
      </c>
      <c r="J94">
        <v>1136264583</v>
      </c>
      <c r="K94">
        <v>1.69</v>
      </c>
      <c r="U94" t="s">
        <v>111</v>
      </c>
    </row>
    <row r="95" spans="2:29" ht="15" thickBot="1" x14ac:dyDescent="0.4">
      <c r="B95" s="23">
        <v>27.433035429339736</v>
      </c>
      <c r="C95" s="24">
        <v>19.661000000000001</v>
      </c>
      <c r="D95" s="25">
        <v>32.74</v>
      </c>
      <c r="E95" s="25">
        <v>67.56</v>
      </c>
      <c r="F95" s="25">
        <v>4.7629999999999999</v>
      </c>
      <c r="G95">
        <v>22.4</v>
      </c>
      <c r="H95">
        <v>19.61</v>
      </c>
      <c r="I95">
        <v>4.25</v>
      </c>
      <c r="J95">
        <v>1154638713</v>
      </c>
      <c r="K95">
        <v>1.62</v>
      </c>
    </row>
    <row r="96" spans="2:29" ht="15" thickBot="1" x14ac:dyDescent="0.4">
      <c r="B96" s="23">
        <v>27.569422151436065</v>
      </c>
      <c r="C96" s="24">
        <v>23.242000000000001</v>
      </c>
      <c r="D96" s="25">
        <v>32.380000000000003</v>
      </c>
      <c r="E96" s="25">
        <v>68.14</v>
      </c>
      <c r="F96" s="25">
        <v>4.7960000000000003</v>
      </c>
      <c r="G96">
        <v>24.46</v>
      </c>
      <c r="H96">
        <v>21.27</v>
      </c>
      <c r="I96">
        <v>5.8</v>
      </c>
      <c r="J96">
        <v>1172373788</v>
      </c>
      <c r="K96">
        <v>1.54</v>
      </c>
      <c r="U96" s="34" t="s">
        <v>112</v>
      </c>
      <c r="V96" s="34"/>
    </row>
    <row r="97" spans="2:29" ht="15" thickBot="1" x14ac:dyDescent="0.4">
      <c r="B97" s="23">
        <v>27.827192520537938</v>
      </c>
      <c r="C97" s="24">
        <v>28.922000000000001</v>
      </c>
      <c r="D97" s="25">
        <v>32.01</v>
      </c>
      <c r="E97" s="25">
        <v>68.709999999999994</v>
      </c>
      <c r="F97" s="25">
        <v>4.8869999999999996</v>
      </c>
      <c r="G97">
        <v>24.89</v>
      </c>
      <c r="H97">
        <v>20.8</v>
      </c>
      <c r="I97">
        <v>6.37</v>
      </c>
      <c r="J97">
        <v>1189691809</v>
      </c>
      <c r="K97">
        <v>1.48</v>
      </c>
      <c r="U97" t="s">
        <v>113</v>
      </c>
      <c r="V97">
        <v>0.99820093472501392</v>
      </c>
    </row>
    <row r="98" spans="2:29" ht="15" thickBot="1" x14ac:dyDescent="0.4">
      <c r="B98" s="23">
        <v>27.812421900723301</v>
      </c>
      <c r="C98" s="24">
        <v>30.387</v>
      </c>
      <c r="D98" s="25">
        <v>31.64</v>
      </c>
      <c r="E98" s="25">
        <v>69.41</v>
      </c>
      <c r="F98" s="25">
        <v>4.9210000000000003</v>
      </c>
      <c r="G98">
        <v>29.27</v>
      </c>
      <c r="H98">
        <v>24.1</v>
      </c>
      <c r="I98">
        <v>8.35</v>
      </c>
      <c r="J98">
        <v>1206734806</v>
      </c>
      <c r="K98">
        <v>1.43</v>
      </c>
      <c r="U98" t="s">
        <v>114</v>
      </c>
      <c r="V98">
        <v>0.9964051060858915</v>
      </c>
    </row>
    <row r="99" spans="2:29" ht="15" thickBot="1" x14ac:dyDescent="0.4">
      <c r="B99" s="23">
        <v>27.92509765224813</v>
      </c>
      <c r="C99" s="24">
        <v>27.024999999999999</v>
      </c>
      <c r="D99" s="25">
        <v>31.24</v>
      </c>
      <c r="E99" s="25">
        <v>70.11</v>
      </c>
      <c r="F99" s="25">
        <v>4.9550000000000001</v>
      </c>
      <c r="G99">
        <v>25.87</v>
      </c>
      <c r="H99">
        <v>20.399999999999999</v>
      </c>
      <c r="I99">
        <v>10.88</v>
      </c>
      <c r="J99">
        <v>1223640160</v>
      </c>
      <c r="K99">
        <v>1.4</v>
      </c>
      <c r="U99" t="s">
        <v>115</v>
      </c>
      <c r="V99">
        <v>0.99524960447064237</v>
      </c>
    </row>
    <row r="100" spans="2:29" ht="15" thickBot="1" x14ac:dyDescent="0.4">
      <c r="B100" s="23">
        <v>28.147201578281397</v>
      </c>
      <c r="C100" s="24">
        <v>30.908999999999999</v>
      </c>
      <c r="D100" s="25">
        <v>30.81</v>
      </c>
      <c r="E100" s="25">
        <v>70.8</v>
      </c>
      <c r="F100" s="25">
        <v>5.0339999999999998</v>
      </c>
      <c r="G100">
        <v>26.85</v>
      </c>
      <c r="H100">
        <v>22.4</v>
      </c>
      <c r="I100">
        <v>11.99</v>
      </c>
      <c r="J100">
        <v>1240613620</v>
      </c>
      <c r="K100">
        <v>1.39</v>
      </c>
      <c r="U100" t="s">
        <v>116</v>
      </c>
      <c r="V100">
        <v>6.0791403017702771E-2</v>
      </c>
    </row>
    <row r="101" spans="2:29" ht="15" thickBot="1" x14ac:dyDescent="0.4">
      <c r="B101" s="23">
        <v>28.231531998946945</v>
      </c>
      <c r="C101" s="24">
        <v>33.450000000000003</v>
      </c>
      <c r="D101" s="25">
        <v>30.4</v>
      </c>
      <c r="E101" s="25">
        <v>71.5</v>
      </c>
      <c r="F101" s="25">
        <v>5.1120000000000001</v>
      </c>
      <c r="G101">
        <v>31.08</v>
      </c>
      <c r="H101">
        <v>24.54</v>
      </c>
      <c r="I101">
        <v>8.91</v>
      </c>
      <c r="J101">
        <v>1257621191</v>
      </c>
      <c r="K101">
        <v>1.37</v>
      </c>
      <c r="U101" s="31" t="s">
        <v>117</v>
      </c>
      <c r="V101" s="31">
        <v>38</v>
      </c>
    </row>
    <row r="102" spans="2:29" ht="15" thickBot="1" x14ac:dyDescent="0.4">
      <c r="B102" s="23">
        <v>28.234045461640768</v>
      </c>
      <c r="C102" s="24">
        <v>34.402000000000001</v>
      </c>
      <c r="D102" s="25">
        <v>29.93</v>
      </c>
      <c r="E102" s="25">
        <v>72.2</v>
      </c>
      <c r="F102" s="25">
        <v>5.1909999999999998</v>
      </c>
      <c r="G102">
        <v>31.26</v>
      </c>
      <c r="H102">
        <v>24.53</v>
      </c>
      <c r="I102">
        <v>9.48</v>
      </c>
      <c r="J102">
        <v>1274487215</v>
      </c>
      <c r="K102">
        <v>1.34</v>
      </c>
    </row>
    <row r="103" spans="2:29" ht="15" thickBot="1" x14ac:dyDescent="0.4">
      <c r="B103" s="23">
        <v>28.249833748650111</v>
      </c>
      <c r="C103" s="24">
        <v>32.362000000000002</v>
      </c>
      <c r="D103" s="25">
        <v>29.43</v>
      </c>
      <c r="E103" s="25">
        <v>72.599999999999994</v>
      </c>
      <c r="F103" s="25">
        <v>5.2939999999999996</v>
      </c>
      <c r="G103">
        <v>28.41</v>
      </c>
      <c r="H103">
        <v>25.43</v>
      </c>
      <c r="I103">
        <v>10.02</v>
      </c>
      <c r="J103">
        <v>1291132063</v>
      </c>
      <c r="K103">
        <v>1.31</v>
      </c>
      <c r="U103" t="s">
        <v>118</v>
      </c>
    </row>
    <row r="104" spans="2:29" ht="15" thickBot="1" x14ac:dyDescent="0.4">
      <c r="B104" s="23">
        <v>28.343543109882685</v>
      </c>
      <c r="C104" s="24">
        <v>30.814</v>
      </c>
      <c r="D104" s="25">
        <v>28.93</v>
      </c>
      <c r="E104" s="25">
        <v>73</v>
      </c>
      <c r="F104" s="25">
        <v>5.5410000000000004</v>
      </c>
      <c r="G104">
        <v>25.95</v>
      </c>
      <c r="H104">
        <v>22.97</v>
      </c>
      <c r="I104">
        <v>6.67</v>
      </c>
      <c r="J104">
        <v>1307246509</v>
      </c>
      <c r="K104">
        <v>1.25</v>
      </c>
      <c r="U104" s="33"/>
      <c r="V104" s="33" t="s">
        <v>119</v>
      </c>
      <c r="W104" s="33" t="s">
        <v>120</v>
      </c>
      <c r="X104" s="33" t="s">
        <v>121</v>
      </c>
      <c r="Y104" s="33" t="s">
        <v>122</v>
      </c>
      <c r="Z104" s="33" t="s">
        <v>123</v>
      </c>
    </row>
    <row r="105" spans="2:29" ht="15" thickBot="1" x14ac:dyDescent="0.4">
      <c r="B105" s="23">
        <v>28.374665485629396</v>
      </c>
      <c r="C105" s="24">
        <v>33.079000000000001</v>
      </c>
      <c r="D105" s="25">
        <v>28.44</v>
      </c>
      <c r="E105" s="25">
        <v>73.41</v>
      </c>
      <c r="F105" s="25">
        <v>5.835</v>
      </c>
      <c r="G105">
        <v>22.11</v>
      </c>
      <c r="H105">
        <v>19.809999999999999</v>
      </c>
      <c r="I105">
        <v>4.91</v>
      </c>
      <c r="J105">
        <v>1322866505</v>
      </c>
      <c r="K105">
        <v>1.19</v>
      </c>
      <c r="U105" t="s">
        <v>124</v>
      </c>
      <c r="V105">
        <v>9</v>
      </c>
      <c r="W105">
        <v>28.680864010004651</v>
      </c>
      <c r="X105">
        <v>3.1867626677782948</v>
      </c>
      <c r="Y105">
        <v>862.31390154399946</v>
      </c>
      <c r="Z105">
        <v>8.7929212111485567E-32</v>
      </c>
    </row>
    <row r="106" spans="2:29" ht="15" thickBot="1" x14ac:dyDescent="0.4">
      <c r="B106" s="23">
        <v>28.461665929644546</v>
      </c>
      <c r="C106" s="24">
        <v>31.858000000000001</v>
      </c>
      <c r="D106" s="25">
        <v>27.93</v>
      </c>
      <c r="E106" s="25">
        <v>73.81</v>
      </c>
      <c r="F106" s="25">
        <v>5.82</v>
      </c>
      <c r="G106">
        <v>20.92</v>
      </c>
      <c r="H106">
        <v>19.16</v>
      </c>
      <c r="I106">
        <v>4.95</v>
      </c>
      <c r="J106">
        <v>1338636340</v>
      </c>
      <c r="K106">
        <v>1.19</v>
      </c>
      <c r="U106" t="s">
        <v>125</v>
      </c>
      <c r="V106">
        <v>28</v>
      </c>
      <c r="W106">
        <v>0.10347665106410132</v>
      </c>
      <c r="X106">
        <v>3.6955946808607614E-3</v>
      </c>
    </row>
    <row r="107" spans="2:29" ht="15" thickBot="1" x14ac:dyDescent="0.4">
      <c r="B107" s="23">
        <v>28.606136430331777</v>
      </c>
      <c r="C107" s="24">
        <v>31.620999999999999</v>
      </c>
      <c r="D107" s="25">
        <v>27.48</v>
      </c>
      <c r="E107" s="25">
        <v>74.209999999999994</v>
      </c>
      <c r="F107" s="25">
        <v>5.6150000000000002</v>
      </c>
      <c r="G107">
        <v>21.95</v>
      </c>
      <c r="H107">
        <v>18.79</v>
      </c>
      <c r="I107">
        <v>3.33</v>
      </c>
      <c r="J107">
        <v>1354195680</v>
      </c>
      <c r="K107">
        <v>1.1599999999999999</v>
      </c>
      <c r="U107" s="31" t="s">
        <v>126</v>
      </c>
      <c r="V107" s="31">
        <v>37</v>
      </c>
      <c r="W107" s="31">
        <v>28.784340661068754</v>
      </c>
      <c r="X107" s="31"/>
      <c r="Y107" s="31"/>
      <c r="Z107" s="31"/>
    </row>
    <row r="108" spans="2:29" ht="15" thickBot="1" x14ac:dyDescent="0.4">
      <c r="B108" s="23">
        <v>28.625357381760317</v>
      </c>
      <c r="C108" s="24">
        <v>33.765999999999998</v>
      </c>
      <c r="D108" s="25">
        <v>27.05</v>
      </c>
      <c r="E108" s="25">
        <v>74.59</v>
      </c>
      <c r="F108" s="25">
        <v>5.0650000000000004</v>
      </c>
      <c r="G108">
        <v>23.69</v>
      </c>
      <c r="H108">
        <v>19.93</v>
      </c>
      <c r="I108">
        <v>3.94</v>
      </c>
      <c r="J108">
        <v>1369003306</v>
      </c>
      <c r="K108">
        <v>1.0900000000000001</v>
      </c>
    </row>
    <row r="109" spans="2:29" ht="15" thickBot="1" x14ac:dyDescent="0.4">
      <c r="B109" s="23">
        <v>28.671846165741808</v>
      </c>
      <c r="C109" s="24">
        <v>34.173000000000002</v>
      </c>
      <c r="D109" s="25">
        <v>26.62</v>
      </c>
      <c r="E109" s="25">
        <v>74.98</v>
      </c>
      <c r="F109" s="25">
        <v>5.2149999999999999</v>
      </c>
      <c r="G109">
        <v>21.27</v>
      </c>
      <c r="H109">
        <v>18.690000000000001</v>
      </c>
      <c r="I109">
        <v>3.73</v>
      </c>
      <c r="J109">
        <v>1383112050</v>
      </c>
      <c r="K109">
        <v>1.03</v>
      </c>
      <c r="U109" s="33"/>
      <c r="V109" s="33" t="s">
        <v>127</v>
      </c>
      <c r="W109" s="33" t="s">
        <v>116</v>
      </c>
      <c r="X109" s="33" t="s">
        <v>128</v>
      </c>
      <c r="Y109" s="33" t="s">
        <v>129</v>
      </c>
      <c r="Z109" s="33" t="s">
        <v>130</v>
      </c>
      <c r="AA109" s="33" t="s">
        <v>131</v>
      </c>
      <c r="AB109" s="33" t="s">
        <v>132</v>
      </c>
      <c r="AC109" s="33" t="s">
        <v>133</v>
      </c>
    </row>
    <row r="110" spans="2:29" ht="15" thickBot="1" x14ac:dyDescent="0.4">
      <c r="B110" s="23">
        <v>28.612233277545126</v>
      </c>
      <c r="C110" s="24">
        <v>33.630000000000003</v>
      </c>
      <c r="D110" s="25">
        <v>26.16</v>
      </c>
      <c r="E110" s="25">
        <v>75.37</v>
      </c>
      <c r="F110" s="25">
        <v>5.2149999999999999</v>
      </c>
      <c r="G110">
        <v>19.100000000000001</v>
      </c>
      <c r="H110">
        <v>18.71</v>
      </c>
      <c r="I110">
        <v>6.62</v>
      </c>
      <c r="J110">
        <v>1396387127</v>
      </c>
      <c r="K110">
        <v>0.96</v>
      </c>
      <c r="U110" t="s">
        <v>134</v>
      </c>
      <c r="V110">
        <v>28.683910927932367</v>
      </c>
      <c r="W110">
        <v>2.5667669454644217</v>
      </c>
      <c r="X110">
        <v>11.175113104295646</v>
      </c>
      <c r="Y110">
        <v>7.8414854987552824E-12</v>
      </c>
      <c r="Z110">
        <v>23.426127185519078</v>
      </c>
      <c r="AA110">
        <v>33.941694670345655</v>
      </c>
      <c r="AB110">
        <v>23.426127185519078</v>
      </c>
      <c r="AC110">
        <v>33.941694670345655</v>
      </c>
    </row>
    <row r="111" spans="2:29" ht="15" thickBot="1" x14ac:dyDescent="0.4">
      <c r="C111" s="23"/>
      <c r="D111" s="24"/>
      <c r="E111" s="25"/>
      <c r="F111" s="25"/>
      <c r="G111" s="25"/>
      <c r="U111" t="s">
        <v>135</v>
      </c>
      <c r="V111">
        <v>2.4446937989085572E-2</v>
      </c>
      <c r="W111">
        <v>6.5513876690315035E-3</v>
      </c>
      <c r="X111">
        <v>3.731566383202535</v>
      </c>
      <c r="Y111">
        <v>8.588788835270022E-4</v>
      </c>
      <c r="Z111">
        <v>1.1027028699172142E-2</v>
      </c>
      <c r="AA111">
        <v>3.7866847278999E-2</v>
      </c>
      <c r="AB111">
        <v>1.1027028699172142E-2</v>
      </c>
      <c r="AC111">
        <v>3.7866847278999E-2</v>
      </c>
    </row>
    <row r="112" spans="2:29" ht="15" thickBot="1" x14ac:dyDescent="0.4">
      <c r="C112" s="23"/>
      <c r="D112" s="24"/>
      <c r="E112" s="25"/>
      <c r="F112" s="25"/>
      <c r="U112" t="s">
        <v>136</v>
      </c>
      <c r="V112">
        <v>-0.10373422814887852</v>
      </c>
      <c r="W112">
        <v>4.3558581922914924E-2</v>
      </c>
      <c r="X112">
        <v>-2.3814877245649475</v>
      </c>
      <c r="Y112">
        <v>2.4279709861827294E-2</v>
      </c>
      <c r="Z112">
        <v>-0.1929599384462507</v>
      </c>
      <c r="AA112">
        <v>-1.450851785150635E-2</v>
      </c>
      <c r="AB112">
        <v>-0.1929599384462507</v>
      </c>
      <c r="AC112">
        <v>-1.450851785150635E-2</v>
      </c>
    </row>
    <row r="113" spans="2:29" x14ac:dyDescent="0.35">
      <c r="U113" t="s">
        <v>137</v>
      </c>
      <c r="V113">
        <v>-0.13138821688140889</v>
      </c>
      <c r="W113">
        <v>6.3672709401937283E-2</v>
      </c>
      <c r="X113">
        <v>-2.0634934199519286</v>
      </c>
      <c r="Y113">
        <v>4.8446635732795965E-2</v>
      </c>
      <c r="Z113">
        <v>-0.26181584955779047</v>
      </c>
      <c r="AA113">
        <v>-9.6058420502734276E-4</v>
      </c>
      <c r="AB113">
        <v>-0.26181584955779047</v>
      </c>
      <c r="AC113">
        <v>-9.6058420502734276E-4</v>
      </c>
    </row>
    <row r="114" spans="2:29" x14ac:dyDescent="0.35">
      <c r="U114" t="s">
        <v>138</v>
      </c>
      <c r="V114">
        <v>1.797508506901151E-2</v>
      </c>
      <c r="W114">
        <v>2.992383036149766E-2</v>
      </c>
      <c r="X114" s="35">
        <v>0.60069465880075501</v>
      </c>
      <c r="Y114">
        <v>0.55287517698399591</v>
      </c>
      <c r="Z114">
        <v>-4.3321102753349675E-2</v>
      </c>
      <c r="AA114">
        <v>7.9271272891372688E-2</v>
      </c>
      <c r="AB114">
        <v>-4.3321102753349675E-2</v>
      </c>
      <c r="AC114">
        <v>7.9271272891372688E-2</v>
      </c>
    </row>
    <row r="115" spans="2:29" x14ac:dyDescent="0.35">
      <c r="U115" t="s">
        <v>139</v>
      </c>
      <c r="V115">
        <v>3.4825146377113002E-2</v>
      </c>
      <c r="W115">
        <v>1.2335276153267242E-2</v>
      </c>
      <c r="X115">
        <v>2.823215787340835</v>
      </c>
      <c r="Y115">
        <v>8.6563597222860597E-3</v>
      </c>
      <c r="Z115">
        <v>9.5574786087438135E-3</v>
      </c>
      <c r="AA115">
        <v>6.009281414548219E-2</v>
      </c>
      <c r="AB115">
        <v>9.5574786087438135E-3</v>
      </c>
      <c r="AC115">
        <v>6.009281414548219E-2</v>
      </c>
    </row>
    <row r="116" spans="2:29" ht="15" thickBot="1" x14ac:dyDescent="0.4">
      <c r="U116" t="s">
        <v>140</v>
      </c>
      <c r="V116">
        <v>-4.9035585013684976E-2</v>
      </c>
      <c r="W116">
        <v>1.5809684246297143E-2</v>
      </c>
      <c r="X116">
        <v>-3.1016169741131812</v>
      </c>
      <c r="Y116">
        <v>4.3620468301767898E-3</v>
      </c>
      <c r="Z116">
        <v>-8.1420255133327818E-2</v>
      </c>
      <c r="AA116">
        <v>-1.6650914894042142E-2</v>
      </c>
      <c r="AB116">
        <v>-8.1420255133327818E-2</v>
      </c>
      <c r="AC116">
        <v>-1.6650914894042142E-2</v>
      </c>
    </row>
    <row r="117" spans="2:29" ht="15" thickBot="1" x14ac:dyDescent="0.4">
      <c r="C117" s="23"/>
      <c r="D117" s="24"/>
      <c r="E117" s="25"/>
      <c r="U117" t="s">
        <v>141</v>
      </c>
      <c r="V117">
        <v>9.8453715572576952E-3</v>
      </c>
      <c r="W117">
        <v>4.9937058731448708E-3</v>
      </c>
      <c r="X117">
        <v>1.9715561563615691</v>
      </c>
      <c r="Y117">
        <v>5.8614675212920436E-2</v>
      </c>
      <c r="Z117">
        <v>-3.8377121731711546E-4</v>
      </c>
      <c r="AA117">
        <v>2.0074514331832508E-2</v>
      </c>
      <c r="AB117">
        <v>-3.8377121731711546E-4</v>
      </c>
      <c r="AC117">
        <v>2.0074514331832508E-2</v>
      </c>
    </row>
    <row r="118" spans="2:29" ht="15" thickBot="1" x14ac:dyDescent="0.4">
      <c r="C118" s="23"/>
      <c r="D118" s="24"/>
      <c r="E118" s="25"/>
      <c r="U118" t="s">
        <v>142</v>
      </c>
      <c r="V118">
        <v>7.7980677965826256E-9</v>
      </c>
      <c r="W118">
        <v>2.4733369398583954E-9</v>
      </c>
      <c r="X118">
        <v>3.1528530023204535</v>
      </c>
      <c r="Y118">
        <v>3.8354783813699268E-3</v>
      </c>
      <c r="Z118">
        <v>2.7316667449106933E-9</v>
      </c>
      <c r="AA118">
        <v>1.2864468848254558E-8</v>
      </c>
      <c r="AB118">
        <v>2.7316667449106933E-9</v>
      </c>
      <c r="AC118">
        <v>1.2864468848254558E-8</v>
      </c>
    </row>
    <row r="119" spans="2:29" ht="15" thickBot="1" x14ac:dyDescent="0.4">
      <c r="C119" s="23"/>
      <c r="D119" s="24"/>
      <c r="E119" s="25"/>
      <c r="U119" s="31" t="s">
        <v>143</v>
      </c>
      <c r="V119" s="31">
        <v>1.0096978050606116</v>
      </c>
      <c r="W119" s="31">
        <v>0.50671029797249201</v>
      </c>
      <c r="X119" s="31">
        <v>1.992653019093418</v>
      </c>
      <c r="Y119" s="31">
        <v>5.6128924137788944E-2</v>
      </c>
      <c r="Z119" s="31">
        <v>-2.8251188127437432E-2</v>
      </c>
      <c r="AA119" s="31">
        <v>2.0476467982486604</v>
      </c>
      <c r="AB119" s="31">
        <v>-2.8251188127437432E-2</v>
      </c>
      <c r="AC119" s="31">
        <v>2.0476467982486604</v>
      </c>
    </row>
    <row r="120" spans="2:29" ht="15" thickBot="1" x14ac:dyDescent="0.4">
      <c r="C120" s="23"/>
      <c r="D120" s="24"/>
      <c r="E120" s="25"/>
    </row>
    <row r="121" spans="2:29" ht="15" thickBot="1" x14ac:dyDescent="0.4">
      <c r="C121" s="23"/>
      <c r="D121" s="24"/>
      <c r="E121" s="25"/>
    </row>
    <row r="122" spans="2:29" ht="15" thickBot="1" x14ac:dyDescent="0.4">
      <c r="B122" t="s">
        <v>60</v>
      </c>
      <c r="C122" t="s">
        <v>61</v>
      </c>
      <c r="D122" t="s">
        <v>62</v>
      </c>
      <c r="E122" t="s">
        <v>63</v>
      </c>
      <c r="F122" t="s">
        <v>65</v>
      </c>
      <c r="G122" t="s">
        <v>66</v>
      </c>
      <c r="H122" t="s">
        <v>68</v>
      </c>
      <c r="I122" t="s">
        <v>69</v>
      </c>
      <c r="J122" t="s">
        <v>70</v>
      </c>
    </row>
    <row r="123" spans="2:29" ht="15" thickBot="1" x14ac:dyDescent="0.4">
      <c r="B123" s="23">
        <v>26.108963265626635</v>
      </c>
      <c r="C123" s="24">
        <v>1.948</v>
      </c>
      <c r="D123" s="25">
        <v>39.020000000000003</v>
      </c>
      <c r="E123" s="25">
        <v>52.1</v>
      </c>
      <c r="F123">
        <v>7.85</v>
      </c>
      <c r="G123">
        <v>5.84</v>
      </c>
      <c r="H123">
        <v>11.87</v>
      </c>
      <c r="I123">
        <v>745826546</v>
      </c>
      <c r="J123">
        <v>2.2799999999999998</v>
      </c>
    </row>
    <row r="124" spans="2:29" ht="15" thickBot="1" x14ac:dyDescent="0.4">
      <c r="B124" s="23">
        <v>26.080598220791387</v>
      </c>
      <c r="C124" s="24">
        <v>2.2909999999999999</v>
      </c>
      <c r="D124" s="25">
        <v>38.909999999999997</v>
      </c>
      <c r="E124" s="25">
        <v>52.6</v>
      </c>
      <c r="F124">
        <v>7.73</v>
      </c>
      <c r="G124">
        <v>6.28</v>
      </c>
      <c r="H124">
        <v>8.32</v>
      </c>
      <c r="I124">
        <v>762895156</v>
      </c>
      <c r="J124">
        <v>2.29</v>
      </c>
      <c r="V124" t="s">
        <v>148</v>
      </c>
    </row>
    <row r="125" spans="2:29" ht="15" thickBot="1" x14ac:dyDescent="0.4">
      <c r="B125" s="23">
        <v>26.172207148160084</v>
      </c>
      <c r="C125" s="24">
        <v>2.4929999999999999</v>
      </c>
      <c r="D125" s="25">
        <v>38.75</v>
      </c>
      <c r="E125" s="25">
        <v>53.11</v>
      </c>
      <c r="F125">
        <v>7.65</v>
      </c>
      <c r="G125">
        <v>5.25</v>
      </c>
      <c r="H125">
        <v>5.56</v>
      </c>
      <c r="I125">
        <v>780242084</v>
      </c>
      <c r="J125">
        <v>2.27</v>
      </c>
      <c r="V125" t="s">
        <v>149</v>
      </c>
    </row>
    <row r="126" spans="2:29" ht="15" thickBot="1" x14ac:dyDescent="0.4">
      <c r="B126" s="23">
        <v>26.240662482996122</v>
      </c>
      <c r="C126" s="24">
        <v>2.4969999999999999</v>
      </c>
      <c r="D126" s="25">
        <v>38.71</v>
      </c>
      <c r="E126" s="25">
        <v>53.62</v>
      </c>
      <c r="F126">
        <v>7.02</v>
      </c>
      <c r="G126">
        <v>5.2</v>
      </c>
      <c r="H126">
        <v>8.73</v>
      </c>
      <c r="I126">
        <v>797878993</v>
      </c>
      <c r="J126">
        <v>2.2599999999999998</v>
      </c>
      <c r="V126" t="s">
        <v>150</v>
      </c>
    </row>
    <row r="127" spans="2:29" ht="15" thickBot="1" x14ac:dyDescent="0.4">
      <c r="B127" s="23">
        <v>26.35459798461391</v>
      </c>
      <c r="C127" s="24">
        <v>2.52</v>
      </c>
      <c r="D127" s="25">
        <v>38.58</v>
      </c>
      <c r="E127" s="25">
        <v>54.12</v>
      </c>
      <c r="F127">
        <v>6.98</v>
      </c>
      <c r="G127">
        <v>5.6</v>
      </c>
      <c r="H127">
        <v>8.8000000000000007</v>
      </c>
      <c r="I127">
        <v>815716125</v>
      </c>
      <c r="J127">
        <v>2.2400000000000002</v>
      </c>
    </row>
    <row r="128" spans="2:29" ht="15" thickBot="1" x14ac:dyDescent="0.4">
      <c r="B128" s="23">
        <v>26.415613161485624</v>
      </c>
      <c r="C128" s="24">
        <v>2.504</v>
      </c>
      <c r="D128" s="25">
        <v>38.4</v>
      </c>
      <c r="E128" s="25">
        <v>55.02</v>
      </c>
      <c r="F128">
        <v>7.46</v>
      </c>
      <c r="G128">
        <v>6.04</v>
      </c>
      <c r="H128">
        <v>9.3800000000000008</v>
      </c>
      <c r="I128">
        <v>833729681</v>
      </c>
      <c r="J128">
        <v>2.21</v>
      </c>
    </row>
    <row r="129" spans="2:29" ht="15" thickBot="1" x14ac:dyDescent="0.4">
      <c r="B129" s="23">
        <v>26.413768372199044</v>
      </c>
      <c r="C129" s="24">
        <v>2.6</v>
      </c>
      <c r="D129" s="25">
        <v>38.19</v>
      </c>
      <c r="E129" s="25">
        <v>55.91</v>
      </c>
      <c r="F129">
        <v>8.15</v>
      </c>
      <c r="G129">
        <v>7.02</v>
      </c>
      <c r="H129">
        <v>7.07</v>
      </c>
      <c r="I129">
        <v>852012673</v>
      </c>
      <c r="J129">
        <v>2.19</v>
      </c>
    </row>
    <row r="130" spans="2:29" ht="15" thickBot="1" x14ac:dyDescent="0.4">
      <c r="B130" s="23">
        <v>26.494641619686462</v>
      </c>
      <c r="C130" s="24">
        <v>2.673</v>
      </c>
      <c r="D130" s="25">
        <v>37.97</v>
      </c>
      <c r="E130" s="25">
        <v>56.8</v>
      </c>
      <c r="F130">
        <v>8.4499999999999993</v>
      </c>
      <c r="G130">
        <v>7.05</v>
      </c>
      <c r="H130">
        <v>8.9700000000000006</v>
      </c>
      <c r="I130">
        <v>870452165</v>
      </c>
      <c r="J130">
        <v>2.16</v>
      </c>
      <c r="U130" s="32"/>
      <c r="V130" s="32"/>
      <c r="W130" s="32"/>
      <c r="X130" s="32"/>
      <c r="Y130" s="32"/>
      <c r="Z130" s="32"/>
    </row>
    <row r="131" spans="2:29" ht="15" thickBot="1" x14ac:dyDescent="0.4">
      <c r="B131" s="23">
        <v>26.322077874962332</v>
      </c>
      <c r="C131" s="24">
        <v>2.3279999999999998</v>
      </c>
      <c r="D131" s="25">
        <v>37.770000000000003</v>
      </c>
      <c r="E131" s="25">
        <v>57.7</v>
      </c>
      <c r="F131">
        <v>8.49</v>
      </c>
      <c r="G131">
        <v>8.49</v>
      </c>
      <c r="H131">
        <v>13.87</v>
      </c>
      <c r="I131">
        <v>888941756</v>
      </c>
      <c r="J131">
        <v>2.12</v>
      </c>
    </row>
    <row r="132" spans="2:29" ht="15" thickBot="1" x14ac:dyDescent="0.4">
      <c r="B132" s="23">
        <v>26.386949771936749</v>
      </c>
      <c r="C132" s="24">
        <v>2.1760000000000002</v>
      </c>
      <c r="D132" s="25">
        <v>37.54</v>
      </c>
      <c r="E132" s="25">
        <v>58.59</v>
      </c>
      <c r="F132">
        <v>9.59</v>
      </c>
      <c r="G132">
        <v>8.84</v>
      </c>
      <c r="H132">
        <v>11.79</v>
      </c>
      <c r="I132">
        <v>907574049</v>
      </c>
      <c r="J132">
        <v>2.1</v>
      </c>
    </row>
    <row r="133" spans="2:29" ht="15" thickBot="1" x14ac:dyDescent="0.4">
      <c r="B133" s="23">
        <v>26.35553807058356</v>
      </c>
      <c r="C133" s="24">
        <v>2.5110000000000001</v>
      </c>
      <c r="D133" s="25">
        <v>37.29</v>
      </c>
      <c r="E133" s="25">
        <v>59.44</v>
      </c>
      <c r="F133">
        <v>9.82</v>
      </c>
      <c r="G133">
        <v>9.83</v>
      </c>
      <c r="H133">
        <v>6.33</v>
      </c>
      <c r="I133">
        <v>926351297</v>
      </c>
      <c r="J133">
        <v>2.0699999999999998</v>
      </c>
      <c r="U133" s="31"/>
      <c r="V133" s="31"/>
      <c r="W133" s="31"/>
      <c r="X133" s="31"/>
      <c r="Y133" s="31"/>
      <c r="Z133" s="31"/>
    </row>
    <row r="134" spans="2:29" ht="15" thickBot="1" x14ac:dyDescent="0.4">
      <c r="B134" s="23">
        <v>26.514068416036146</v>
      </c>
      <c r="C134" s="24">
        <v>3.2120000000000002</v>
      </c>
      <c r="D134" s="25">
        <v>36.99</v>
      </c>
      <c r="E134" s="25">
        <v>60.3</v>
      </c>
      <c r="F134">
        <v>10.19</v>
      </c>
      <c r="G134">
        <v>9.89</v>
      </c>
      <c r="H134">
        <v>10.25</v>
      </c>
      <c r="I134">
        <v>945261958</v>
      </c>
      <c r="J134">
        <v>2.04</v>
      </c>
    </row>
    <row r="135" spans="2:29" ht="15" thickBot="1" x14ac:dyDescent="0.4">
      <c r="B135" s="23">
        <v>26.610152763845043</v>
      </c>
      <c r="C135" s="24">
        <v>5.0209999999999999</v>
      </c>
      <c r="D135" s="25">
        <v>36.65</v>
      </c>
      <c r="E135" s="25">
        <v>61.15</v>
      </c>
      <c r="F135">
        <v>12.02</v>
      </c>
      <c r="G135">
        <v>10.84</v>
      </c>
      <c r="H135">
        <v>10.220000000000001</v>
      </c>
      <c r="I135">
        <v>964279129</v>
      </c>
      <c r="J135">
        <v>2.0099999999999998</v>
      </c>
      <c r="U135" s="32"/>
      <c r="V135" s="32"/>
      <c r="W135" s="32"/>
      <c r="X135" s="32"/>
      <c r="Y135" s="32"/>
      <c r="Z135" s="32"/>
      <c r="AA135" s="32"/>
      <c r="AB135" s="32"/>
      <c r="AC135" s="32"/>
    </row>
    <row r="136" spans="2:29" ht="15" thickBot="1" x14ac:dyDescent="0.4">
      <c r="B136" s="23">
        <v>26.696813466277504</v>
      </c>
      <c r="C136" s="24">
        <v>6.9009999999999998</v>
      </c>
      <c r="D136" s="25">
        <v>36.33</v>
      </c>
      <c r="E136" s="25">
        <v>62</v>
      </c>
      <c r="F136">
        <v>11.54</v>
      </c>
      <c r="G136">
        <v>10.39</v>
      </c>
      <c r="H136">
        <v>8.98</v>
      </c>
      <c r="I136">
        <v>983281218</v>
      </c>
      <c r="J136">
        <v>1.97</v>
      </c>
    </row>
    <row r="137" spans="2:29" ht="15" thickBot="1" x14ac:dyDescent="0.4">
      <c r="B137" s="23">
        <v>26.753633147301262</v>
      </c>
      <c r="C137" s="24">
        <v>8.2289999999999992</v>
      </c>
      <c r="D137" s="25">
        <v>35.97</v>
      </c>
      <c r="E137" s="25">
        <v>62.85</v>
      </c>
      <c r="F137">
        <v>11.93</v>
      </c>
      <c r="G137">
        <v>10.69</v>
      </c>
      <c r="H137">
        <v>7.16</v>
      </c>
      <c r="I137">
        <v>1002335230</v>
      </c>
      <c r="J137">
        <v>1.94</v>
      </c>
      <c r="V137" t="s">
        <v>111</v>
      </c>
    </row>
    <row r="138" spans="2:29" ht="15" thickBot="1" x14ac:dyDescent="0.4">
      <c r="B138" s="23">
        <v>26.76673318575585</v>
      </c>
      <c r="C138" s="24">
        <v>6.7069999999999999</v>
      </c>
      <c r="D138" s="25">
        <v>35.57</v>
      </c>
      <c r="E138" s="25">
        <v>63.45</v>
      </c>
      <c r="F138">
        <v>12.68</v>
      </c>
      <c r="G138">
        <v>11.02</v>
      </c>
      <c r="H138">
        <v>13.23</v>
      </c>
      <c r="I138">
        <v>1021434576</v>
      </c>
      <c r="J138">
        <v>1.91</v>
      </c>
    </row>
    <row r="139" spans="2:29" ht="15" thickBot="1" x14ac:dyDescent="0.4">
      <c r="B139" s="23">
        <v>26.851924722819589</v>
      </c>
      <c r="C139" s="24">
        <v>2.62</v>
      </c>
      <c r="D139" s="25">
        <v>35.159999999999997</v>
      </c>
      <c r="E139" s="25">
        <v>64.05</v>
      </c>
      <c r="F139">
        <v>13.36</v>
      </c>
      <c r="G139">
        <v>11.45</v>
      </c>
      <c r="H139">
        <v>4.67</v>
      </c>
      <c r="I139">
        <v>1040500054</v>
      </c>
      <c r="J139">
        <v>1.87</v>
      </c>
      <c r="V139" s="34" t="s">
        <v>112</v>
      </c>
      <c r="W139" s="34"/>
    </row>
    <row r="140" spans="2:29" ht="15" thickBot="1" x14ac:dyDescent="0.4">
      <c r="B140" s="23">
        <v>26.872577660034214</v>
      </c>
      <c r="C140" s="24">
        <v>6.3319999999999999</v>
      </c>
      <c r="D140" s="25">
        <v>34.729999999999997</v>
      </c>
      <c r="E140" s="25">
        <v>64.650000000000006</v>
      </c>
      <c r="F140">
        <v>13.9</v>
      </c>
      <c r="G140">
        <v>13</v>
      </c>
      <c r="H140">
        <v>4.01</v>
      </c>
      <c r="I140">
        <v>1059633675</v>
      </c>
      <c r="J140">
        <v>1.84</v>
      </c>
      <c r="V140" t="s">
        <v>113</v>
      </c>
      <c r="W140">
        <v>0.99817772913214797</v>
      </c>
    </row>
    <row r="141" spans="2:29" ht="15" thickBot="1" x14ac:dyDescent="0.4">
      <c r="B141" s="23">
        <v>26.908323623040616</v>
      </c>
      <c r="C141" s="24">
        <v>8.2129999999999992</v>
      </c>
      <c r="D141" s="25">
        <v>34.36</v>
      </c>
      <c r="E141" s="25">
        <v>65.25</v>
      </c>
      <c r="F141">
        <v>13.43</v>
      </c>
      <c r="G141">
        <v>12.56</v>
      </c>
      <c r="H141">
        <v>3.78</v>
      </c>
      <c r="I141">
        <v>1078970907</v>
      </c>
      <c r="J141">
        <v>1.82</v>
      </c>
      <c r="V141" t="s">
        <v>114</v>
      </c>
      <c r="W141">
        <v>0.9963587789354118</v>
      </c>
    </row>
    <row r="142" spans="2:29" ht="15" thickBot="1" x14ac:dyDescent="0.4">
      <c r="B142" s="23">
        <v>26.967312242720016</v>
      </c>
      <c r="C142" s="24">
        <v>8.7720000000000002</v>
      </c>
      <c r="D142" s="25">
        <v>33.97</v>
      </c>
      <c r="E142" s="25">
        <v>65.849999999999994</v>
      </c>
      <c r="F142">
        <v>15.24</v>
      </c>
      <c r="G142">
        <v>14.26</v>
      </c>
      <c r="H142">
        <v>4.3</v>
      </c>
      <c r="I142">
        <v>1098313039</v>
      </c>
      <c r="J142">
        <v>1.79</v>
      </c>
      <c r="V142" t="s">
        <v>115</v>
      </c>
      <c r="W142">
        <v>0.99535430415897375</v>
      </c>
    </row>
    <row r="143" spans="2:29" ht="15" thickBot="1" x14ac:dyDescent="0.4">
      <c r="B143" s="23">
        <v>27.132946000233598</v>
      </c>
      <c r="C143" s="24">
        <v>9.1880000000000006</v>
      </c>
      <c r="D143" s="25">
        <v>33.56</v>
      </c>
      <c r="E143" s="25">
        <v>66.42</v>
      </c>
      <c r="F143">
        <v>15.64</v>
      </c>
      <c r="G143">
        <v>14.95</v>
      </c>
      <c r="H143">
        <v>3.81</v>
      </c>
      <c r="I143">
        <v>1117415123</v>
      </c>
      <c r="J143">
        <v>1.74</v>
      </c>
      <c r="V143" t="s">
        <v>116</v>
      </c>
      <c r="W143">
        <v>6.0117742961672639E-2</v>
      </c>
    </row>
    <row r="144" spans="2:29" ht="15" thickBot="1" x14ac:dyDescent="0.4">
      <c r="B144" s="23">
        <v>27.287330812353115</v>
      </c>
      <c r="C144" s="24">
        <v>13.452</v>
      </c>
      <c r="D144" s="25">
        <v>33.15</v>
      </c>
      <c r="E144" s="25">
        <v>66.989999999999995</v>
      </c>
      <c r="F144">
        <v>19.64</v>
      </c>
      <c r="G144">
        <v>17.86</v>
      </c>
      <c r="H144">
        <v>3.77</v>
      </c>
      <c r="I144">
        <v>1136264583</v>
      </c>
      <c r="J144">
        <v>1.69</v>
      </c>
      <c r="V144" s="31" t="s">
        <v>117</v>
      </c>
      <c r="W144" s="31">
        <v>38</v>
      </c>
    </row>
    <row r="145" spans="2:30" ht="15" thickBot="1" x14ac:dyDescent="0.4">
      <c r="B145" s="23">
        <v>27.433035429339736</v>
      </c>
      <c r="C145" s="24">
        <v>19.661000000000001</v>
      </c>
      <c r="D145" s="25">
        <v>32.74</v>
      </c>
      <c r="E145" s="25">
        <v>67.56</v>
      </c>
      <c r="F145">
        <v>22.4</v>
      </c>
      <c r="G145">
        <v>19.61</v>
      </c>
      <c r="H145">
        <v>4.25</v>
      </c>
      <c r="I145">
        <v>1154638713</v>
      </c>
      <c r="J145">
        <v>1.62</v>
      </c>
      <c r="U145" s="31"/>
    </row>
    <row r="146" spans="2:30" ht="15" thickBot="1" x14ac:dyDescent="0.4">
      <c r="B146" s="23">
        <v>27.569422151436065</v>
      </c>
      <c r="C146" s="24">
        <v>23.242000000000001</v>
      </c>
      <c r="D146" s="25">
        <v>32.380000000000003</v>
      </c>
      <c r="E146" s="25">
        <v>68.14</v>
      </c>
      <c r="F146">
        <v>24.46</v>
      </c>
      <c r="G146">
        <v>21.27</v>
      </c>
      <c r="H146">
        <v>5.8</v>
      </c>
      <c r="I146">
        <v>1172373788</v>
      </c>
      <c r="J146">
        <v>1.54</v>
      </c>
      <c r="V146" t="s">
        <v>118</v>
      </c>
    </row>
    <row r="147" spans="2:30" ht="15" thickBot="1" x14ac:dyDescent="0.4">
      <c r="B147" s="23">
        <v>27.827192520537938</v>
      </c>
      <c r="C147" s="24">
        <v>28.922000000000001</v>
      </c>
      <c r="D147" s="25">
        <v>32.01</v>
      </c>
      <c r="E147" s="25">
        <v>68.709999999999994</v>
      </c>
      <c r="F147">
        <v>24.89</v>
      </c>
      <c r="G147">
        <v>20.8</v>
      </c>
      <c r="H147">
        <v>6.37</v>
      </c>
      <c r="I147">
        <v>1189691809</v>
      </c>
      <c r="J147">
        <v>1.48</v>
      </c>
      <c r="V147" s="33"/>
      <c r="W147" s="33" t="s">
        <v>119</v>
      </c>
      <c r="X147" s="33" t="s">
        <v>120</v>
      </c>
      <c r="Y147" s="33" t="s">
        <v>121</v>
      </c>
      <c r="Z147" s="33" t="s">
        <v>122</v>
      </c>
      <c r="AA147" s="33" t="s">
        <v>123</v>
      </c>
    </row>
    <row r="148" spans="2:30" ht="15" thickBot="1" x14ac:dyDescent="0.4">
      <c r="B148" s="23">
        <v>27.812421900723301</v>
      </c>
      <c r="C148" s="24">
        <v>30.387</v>
      </c>
      <c r="D148" s="25">
        <v>31.64</v>
      </c>
      <c r="E148" s="25">
        <v>69.41</v>
      </c>
      <c r="F148">
        <v>29.27</v>
      </c>
      <c r="G148">
        <v>24.1</v>
      </c>
      <c r="H148">
        <v>8.35</v>
      </c>
      <c r="I148">
        <v>1206734806</v>
      </c>
      <c r="J148">
        <v>1.43</v>
      </c>
      <c r="V148" t="s">
        <v>124</v>
      </c>
      <c r="W148">
        <v>8</v>
      </c>
      <c r="X148">
        <v>28.679530513523389</v>
      </c>
      <c r="Y148">
        <v>3.5849413141904236</v>
      </c>
      <c r="Z148">
        <v>991.92015798396221</v>
      </c>
      <c r="AA148">
        <v>3.2087736737176391E-33</v>
      </c>
    </row>
    <row r="149" spans="2:30" ht="15" thickBot="1" x14ac:dyDescent="0.4">
      <c r="B149" s="23">
        <v>27.92509765224813</v>
      </c>
      <c r="C149" s="24">
        <v>27.024999999999999</v>
      </c>
      <c r="D149" s="25">
        <v>31.24</v>
      </c>
      <c r="E149" s="25">
        <v>70.11</v>
      </c>
      <c r="F149">
        <v>25.87</v>
      </c>
      <c r="G149">
        <v>20.399999999999999</v>
      </c>
      <c r="H149">
        <v>10.88</v>
      </c>
      <c r="I149">
        <v>1223640160</v>
      </c>
      <c r="J149">
        <v>1.4</v>
      </c>
      <c r="V149" t="s">
        <v>125</v>
      </c>
      <c r="W149">
        <v>29</v>
      </c>
      <c r="X149">
        <v>0.10481014754536645</v>
      </c>
      <c r="Y149">
        <v>3.6141430188057397E-3</v>
      </c>
    </row>
    <row r="150" spans="2:30" ht="15" thickBot="1" x14ac:dyDescent="0.4">
      <c r="B150" s="23">
        <v>28.147201578281397</v>
      </c>
      <c r="C150" s="24">
        <v>30.908999999999999</v>
      </c>
      <c r="D150" s="25">
        <v>30.81</v>
      </c>
      <c r="E150" s="25">
        <v>70.8</v>
      </c>
      <c r="F150">
        <v>26.85</v>
      </c>
      <c r="G150">
        <v>22.4</v>
      </c>
      <c r="H150">
        <v>11.99</v>
      </c>
      <c r="I150">
        <v>1240613620</v>
      </c>
      <c r="J150">
        <v>1.39</v>
      </c>
      <c r="V150" s="31" t="s">
        <v>126</v>
      </c>
      <c r="W150" s="31">
        <v>37</v>
      </c>
      <c r="X150" s="31">
        <v>28.784340661068754</v>
      </c>
      <c r="Y150" s="31"/>
      <c r="Z150" s="31"/>
      <c r="AA150" s="31"/>
    </row>
    <row r="151" spans="2:30" ht="15" thickBot="1" x14ac:dyDescent="0.4">
      <c r="B151" s="23">
        <v>28.231531998946945</v>
      </c>
      <c r="C151" s="24">
        <v>33.450000000000003</v>
      </c>
      <c r="D151" s="25">
        <v>30.4</v>
      </c>
      <c r="E151" s="25">
        <v>71.5</v>
      </c>
      <c r="F151">
        <v>31.08</v>
      </c>
      <c r="G151">
        <v>24.54</v>
      </c>
      <c r="H151">
        <v>8.91</v>
      </c>
      <c r="I151">
        <v>1257621191</v>
      </c>
      <c r="J151">
        <v>1.37</v>
      </c>
    </row>
    <row r="152" spans="2:30" ht="15" thickBot="1" x14ac:dyDescent="0.4">
      <c r="B152" s="23">
        <v>28.234045461640768</v>
      </c>
      <c r="C152" s="24">
        <v>34.402000000000001</v>
      </c>
      <c r="D152" s="25">
        <v>29.93</v>
      </c>
      <c r="E152" s="25">
        <v>72.2</v>
      </c>
      <c r="F152">
        <v>31.26</v>
      </c>
      <c r="G152">
        <v>24.53</v>
      </c>
      <c r="H152">
        <v>9.48</v>
      </c>
      <c r="I152">
        <v>1274487215</v>
      </c>
      <c r="J152">
        <v>1.34</v>
      </c>
      <c r="V152" s="33"/>
      <c r="W152" s="33" t="s">
        <v>127</v>
      </c>
      <c r="X152" s="33" t="s">
        <v>116</v>
      </c>
      <c r="Y152" s="33" t="s">
        <v>128</v>
      </c>
      <c r="Z152" s="33" t="s">
        <v>129</v>
      </c>
      <c r="AA152" s="33" t="s">
        <v>130</v>
      </c>
      <c r="AB152" s="33" t="s">
        <v>131</v>
      </c>
      <c r="AC152" s="33" t="s">
        <v>132</v>
      </c>
      <c r="AD152" s="33" t="s">
        <v>133</v>
      </c>
    </row>
    <row r="153" spans="2:30" ht="15" thickBot="1" x14ac:dyDescent="0.4">
      <c r="B153" s="23">
        <v>28.249833748650111</v>
      </c>
      <c r="C153" s="24">
        <v>32.362000000000002</v>
      </c>
      <c r="D153" s="25">
        <v>29.43</v>
      </c>
      <c r="E153" s="25">
        <v>72.599999999999994</v>
      </c>
      <c r="F153">
        <v>28.41</v>
      </c>
      <c r="G153">
        <v>25.43</v>
      </c>
      <c r="H153">
        <v>10.02</v>
      </c>
      <c r="I153">
        <v>1291132063</v>
      </c>
      <c r="J153">
        <v>1.31</v>
      </c>
      <c r="V153" t="s">
        <v>134</v>
      </c>
      <c r="W153">
        <v>27.518189516434479</v>
      </c>
      <c r="X153">
        <v>1.6613471373014328</v>
      </c>
      <c r="Y153">
        <v>16.563780620306094</v>
      </c>
      <c r="Z153">
        <v>2.5336531760496881E-16</v>
      </c>
      <c r="AA153">
        <v>24.120353105353274</v>
      </c>
      <c r="AB153">
        <v>30.916025927515683</v>
      </c>
      <c r="AC153">
        <v>24.120353105353274</v>
      </c>
      <c r="AD153">
        <v>30.916025927515683</v>
      </c>
    </row>
    <row r="154" spans="2:30" ht="15" thickBot="1" x14ac:dyDescent="0.4">
      <c r="B154" s="23">
        <v>28.343543109882685</v>
      </c>
      <c r="C154" s="24">
        <v>30.814</v>
      </c>
      <c r="D154" s="25">
        <v>28.93</v>
      </c>
      <c r="E154" s="25">
        <v>73</v>
      </c>
      <c r="F154">
        <v>25.95</v>
      </c>
      <c r="G154">
        <v>22.97</v>
      </c>
      <c r="H154">
        <v>6.67</v>
      </c>
      <c r="I154">
        <v>1307246509</v>
      </c>
      <c r="J154">
        <v>1.25</v>
      </c>
      <c r="V154" t="s">
        <v>135</v>
      </c>
      <c r="W154">
        <v>2.5411849047026206E-2</v>
      </c>
      <c r="X154">
        <v>6.2810260798802824E-3</v>
      </c>
      <c r="Y154">
        <v>4.0458117390129607</v>
      </c>
      <c r="Z154">
        <v>3.5321819687174452E-4</v>
      </c>
      <c r="AA154">
        <v>1.256570832544647E-2</v>
      </c>
      <c r="AB154">
        <v>3.8257989768605942E-2</v>
      </c>
      <c r="AC154">
        <v>1.256570832544647E-2</v>
      </c>
      <c r="AD154">
        <v>3.8257989768605942E-2</v>
      </c>
    </row>
    <row r="155" spans="2:30" ht="15" thickBot="1" x14ac:dyDescent="0.4">
      <c r="B155" s="23">
        <v>28.374665485629396</v>
      </c>
      <c r="C155" s="24">
        <v>33.079000000000001</v>
      </c>
      <c r="D155" s="25">
        <v>28.44</v>
      </c>
      <c r="E155" s="25">
        <v>73.41</v>
      </c>
      <c r="F155">
        <v>22.11</v>
      </c>
      <c r="G155">
        <v>19.809999999999999</v>
      </c>
      <c r="H155">
        <v>4.91</v>
      </c>
      <c r="I155">
        <v>1322866505</v>
      </c>
      <c r="J155">
        <v>1.19</v>
      </c>
      <c r="V155" t="s">
        <v>136</v>
      </c>
      <c r="W155">
        <v>-9.914482692839538E-2</v>
      </c>
      <c r="X155">
        <v>4.2408096100552579E-2</v>
      </c>
      <c r="Y155">
        <v>-2.3378749824872123</v>
      </c>
      <c r="Z155">
        <v>2.6501080181533729E-2</v>
      </c>
      <c r="AA155">
        <v>-0.1858791221396579</v>
      </c>
      <c r="AB155">
        <v>-1.2410531717132869E-2</v>
      </c>
      <c r="AC155">
        <v>-0.1858791221396579</v>
      </c>
      <c r="AD155">
        <v>-1.2410531717132869E-2</v>
      </c>
    </row>
    <row r="156" spans="2:30" ht="15" thickBot="1" x14ac:dyDescent="0.4">
      <c r="B156" s="23">
        <v>28.461665929644546</v>
      </c>
      <c r="C156" s="24">
        <v>31.858000000000001</v>
      </c>
      <c r="D156" s="25">
        <v>27.93</v>
      </c>
      <c r="E156" s="25">
        <v>73.81</v>
      </c>
      <c r="F156">
        <v>20.92</v>
      </c>
      <c r="G156">
        <v>19.16</v>
      </c>
      <c r="H156">
        <v>4.95</v>
      </c>
      <c r="I156">
        <v>1338636340</v>
      </c>
      <c r="J156">
        <v>1.19</v>
      </c>
      <c r="V156" t="s">
        <v>137</v>
      </c>
      <c r="W156">
        <v>-0.10186911568113863</v>
      </c>
      <c r="X156">
        <v>4.0039798448791443E-2</v>
      </c>
      <c r="Y156">
        <v>-2.5441965151603663</v>
      </c>
      <c r="Z156">
        <v>1.6539542872633262E-2</v>
      </c>
      <c r="AA156">
        <v>-0.18375969833362599</v>
      </c>
      <c r="AB156">
        <v>-1.9978533028651282E-2</v>
      </c>
      <c r="AC156">
        <v>-0.18375969833362599</v>
      </c>
      <c r="AD156">
        <v>-1.9978533028651282E-2</v>
      </c>
    </row>
    <row r="157" spans="2:30" ht="15" thickBot="1" x14ac:dyDescent="0.4">
      <c r="B157" s="23">
        <v>28.606136430331777</v>
      </c>
      <c r="C157" s="24">
        <v>31.620999999999999</v>
      </c>
      <c r="D157" s="25">
        <v>27.48</v>
      </c>
      <c r="E157" s="25">
        <v>74.209999999999994</v>
      </c>
      <c r="F157">
        <v>21.95</v>
      </c>
      <c r="G157">
        <v>18.79</v>
      </c>
      <c r="H157">
        <v>3.33</v>
      </c>
      <c r="I157">
        <v>1354195680</v>
      </c>
      <c r="J157">
        <v>1.1599999999999999</v>
      </c>
      <c r="V157" t="s">
        <v>138</v>
      </c>
      <c r="W157">
        <v>3.4244080934939629E-2</v>
      </c>
      <c r="X157">
        <v>1.2161016899224103E-2</v>
      </c>
      <c r="Y157">
        <v>2.8158895936674893</v>
      </c>
      <c r="Z157">
        <v>8.6574673636308965E-3</v>
      </c>
      <c r="AA157">
        <v>9.3720086941697402E-3</v>
      </c>
      <c r="AB157">
        <v>5.9116153175709521E-2</v>
      </c>
      <c r="AC157">
        <v>9.3720086941697402E-3</v>
      </c>
      <c r="AD157">
        <v>5.9116153175709521E-2</v>
      </c>
    </row>
    <row r="158" spans="2:30" ht="15" thickBot="1" x14ac:dyDescent="0.4">
      <c r="B158" s="23">
        <v>28.625357381760317</v>
      </c>
      <c r="C158" s="24">
        <v>33.765999999999998</v>
      </c>
      <c r="D158" s="25">
        <v>27.05</v>
      </c>
      <c r="E158" s="25">
        <v>74.59</v>
      </c>
      <c r="F158">
        <v>23.69</v>
      </c>
      <c r="G158">
        <v>19.93</v>
      </c>
      <c r="H158">
        <v>3.94</v>
      </c>
      <c r="I158">
        <v>1369003306</v>
      </c>
      <c r="J158">
        <v>1.0900000000000001</v>
      </c>
      <c r="V158" t="s">
        <v>139</v>
      </c>
      <c r="W158">
        <v>-5.1478716588677455E-2</v>
      </c>
      <c r="X158">
        <v>1.5108272907275377E-2</v>
      </c>
      <c r="Y158">
        <v>-3.4073197449251742</v>
      </c>
      <c r="Z158">
        <v>1.9430773404334231E-3</v>
      </c>
      <c r="AA158">
        <v>-8.2378604180067511E-2</v>
      </c>
      <c r="AB158">
        <v>-2.0578828997287395E-2</v>
      </c>
      <c r="AC158">
        <v>-8.2378604180067511E-2</v>
      </c>
      <c r="AD158">
        <v>-2.0578828997287395E-2</v>
      </c>
    </row>
    <row r="159" spans="2:30" ht="15" thickBot="1" x14ac:dyDescent="0.4">
      <c r="B159" s="23">
        <v>28.671846165741808</v>
      </c>
      <c r="C159" s="24">
        <v>34.173000000000002</v>
      </c>
      <c r="D159" s="25">
        <v>26.62</v>
      </c>
      <c r="E159" s="25">
        <v>74.98</v>
      </c>
      <c r="F159">
        <v>21.27</v>
      </c>
      <c r="G159">
        <v>18.690000000000001</v>
      </c>
      <c r="H159">
        <v>3.73</v>
      </c>
      <c r="I159">
        <v>1383112050</v>
      </c>
      <c r="J159">
        <v>1.03</v>
      </c>
      <c r="V159" t="s">
        <v>140</v>
      </c>
      <c r="W159">
        <v>8.7805535805639892E-3</v>
      </c>
      <c r="X159">
        <v>4.6167594625051676E-3</v>
      </c>
      <c r="Y159" s="35">
        <v>1.9018867350302553</v>
      </c>
      <c r="Z159">
        <v>6.7161392824540769E-2</v>
      </c>
      <c r="AA159">
        <v>-6.6177972274823228E-4</v>
      </c>
      <c r="AB159">
        <v>1.8222886883876209E-2</v>
      </c>
      <c r="AC159">
        <v>-6.6177972274823228E-4</v>
      </c>
      <c r="AD159">
        <v>1.8222886883876209E-2</v>
      </c>
    </row>
    <row r="160" spans="2:30" ht="15" thickBot="1" x14ac:dyDescent="0.4">
      <c r="B160" s="23">
        <v>28.612233277545126</v>
      </c>
      <c r="C160" s="24">
        <v>33.630000000000003</v>
      </c>
      <c r="D160" s="25">
        <v>26.16</v>
      </c>
      <c r="E160" s="25">
        <v>75.37</v>
      </c>
      <c r="F160">
        <v>19.100000000000001</v>
      </c>
      <c r="G160">
        <v>18.71</v>
      </c>
      <c r="H160">
        <v>6.62</v>
      </c>
      <c r="I160">
        <v>1396387127</v>
      </c>
      <c r="J160">
        <v>0.96</v>
      </c>
      <c r="V160" t="s">
        <v>141</v>
      </c>
      <c r="W160">
        <v>7.0165052019354607E-9</v>
      </c>
      <c r="X160">
        <v>2.0801495040155019E-9</v>
      </c>
      <c r="Y160">
        <v>3.373077362175585</v>
      </c>
      <c r="Z160">
        <v>2.1242475492153114E-3</v>
      </c>
      <c r="AA160">
        <v>2.7621217762553125E-9</v>
      </c>
      <c r="AB160">
        <v>1.127088862761561E-8</v>
      </c>
      <c r="AC160">
        <v>2.7621217762553125E-9</v>
      </c>
      <c r="AD160">
        <v>1.127088862761561E-8</v>
      </c>
    </row>
    <row r="161" spans="2:30" ht="15" thickBot="1" x14ac:dyDescent="0.4">
      <c r="C161" s="23"/>
      <c r="D161" s="24"/>
      <c r="E161" s="25"/>
      <c r="V161" s="31" t="s">
        <v>142</v>
      </c>
      <c r="W161" s="31">
        <v>1.0452734589092707</v>
      </c>
      <c r="X161" s="31">
        <v>0.49766071554318042</v>
      </c>
      <c r="Y161" s="31">
        <v>2.100373660734681</v>
      </c>
      <c r="Z161" s="31">
        <v>4.4506611718118504E-2</v>
      </c>
      <c r="AA161" s="31">
        <v>2.7443011755386104E-2</v>
      </c>
      <c r="AB161" s="31">
        <v>2.0631039060631551</v>
      </c>
      <c r="AC161" s="31">
        <v>2.7443011755386104E-2</v>
      </c>
      <c r="AD161" s="31">
        <v>2.0631039060631551</v>
      </c>
    </row>
    <row r="162" spans="2:30" ht="15" thickBot="1" x14ac:dyDescent="0.4">
      <c r="C162" s="23"/>
      <c r="D162" s="24"/>
      <c r="E162" s="25"/>
    </row>
    <row r="163" spans="2:30" ht="15" thickBot="1" x14ac:dyDescent="0.4">
      <c r="C163" s="23"/>
      <c r="D163" s="24"/>
      <c r="E163" s="25"/>
    </row>
    <row r="164" spans="2:30" ht="15" thickBot="1" x14ac:dyDescent="0.4">
      <c r="C164" s="23"/>
      <c r="D164" s="24"/>
      <c r="E164" s="25"/>
      <c r="U164" s="30"/>
    </row>
    <row r="165" spans="2:30" ht="15" thickBot="1" x14ac:dyDescent="0.4">
      <c r="C165" s="23"/>
      <c r="D165" s="24"/>
      <c r="E165" s="25"/>
    </row>
    <row r="166" spans="2:30" ht="15" thickBot="1" x14ac:dyDescent="0.4">
      <c r="C166" s="23"/>
      <c r="D166" s="24"/>
      <c r="E166" s="25"/>
    </row>
    <row r="167" spans="2:30" ht="15" thickBot="1" x14ac:dyDescent="0.4">
      <c r="C167" s="23"/>
      <c r="D167" s="24"/>
      <c r="E167" s="25"/>
    </row>
    <row r="168" spans="2:30" ht="15" thickBot="1" x14ac:dyDescent="0.4">
      <c r="B168" t="s">
        <v>60</v>
      </c>
      <c r="C168" t="s">
        <v>61</v>
      </c>
      <c r="D168" t="s">
        <v>62</v>
      </c>
      <c r="E168" t="s">
        <v>63</v>
      </c>
      <c r="F168" t="s">
        <v>65</v>
      </c>
      <c r="G168" t="s">
        <v>66</v>
      </c>
      <c r="H168" t="s">
        <v>68</v>
      </c>
      <c r="I168" t="s">
        <v>70</v>
      </c>
      <c r="X168" t="s">
        <v>151</v>
      </c>
    </row>
    <row r="169" spans="2:30" ht="15" thickBot="1" x14ac:dyDescent="0.4">
      <c r="B169" s="23">
        <v>26.108963265626635</v>
      </c>
      <c r="C169" s="24">
        <v>1.948</v>
      </c>
      <c r="D169" s="25">
        <v>39.020000000000003</v>
      </c>
      <c r="E169" s="25">
        <v>52.1</v>
      </c>
      <c r="F169">
        <v>7.85</v>
      </c>
      <c r="G169">
        <v>5.84</v>
      </c>
      <c r="H169">
        <v>11.87</v>
      </c>
      <c r="I169">
        <v>2.2799999999999998</v>
      </c>
      <c r="U169" s="31"/>
      <c r="X169" t="s">
        <v>152</v>
      </c>
    </row>
    <row r="170" spans="2:30" ht="15" thickBot="1" x14ac:dyDescent="0.4">
      <c r="B170" s="23">
        <v>26.080598220791387</v>
      </c>
      <c r="C170" s="24">
        <v>2.2909999999999999</v>
      </c>
      <c r="D170" s="25">
        <v>38.909999999999997</v>
      </c>
      <c r="E170" s="25">
        <v>52.6</v>
      </c>
      <c r="F170">
        <v>7.73</v>
      </c>
      <c r="G170">
        <v>6.28</v>
      </c>
      <c r="H170">
        <v>8.32</v>
      </c>
      <c r="I170">
        <v>2.29</v>
      </c>
      <c r="X170" t="s">
        <v>153</v>
      </c>
    </row>
    <row r="171" spans="2:30" ht="15" thickBot="1" x14ac:dyDescent="0.4">
      <c r="B171" s="23">
        <v>26.172207148160084</v>
      </c>
      <c r="C171" s="24">
        <v>2.4929999999999999</v>
      </c>
      <c r="D171" s="25">
        <v>38.75</v>
      </c>
      <c r="E171" s="25">
        <v>53.11</v>
      </c>
      <c r="F171">
        <v>7.65</v>
      </c>
      <c r="G171">
        <v>5.25</v>
      </c>
      <c r="H171">
        <v>5.56</v>
      </c>
      <c r="I171">
        <v>2.27</v>
      </c>
    </row>
    <row r="172" spans="2:30" ht="15" thickBot="1" x14ac:dyDescent="0.4">
      <c r="B172" s="23">
        <v>26.240662482996122</v>
      </c>
      <c r="C172" s="24">
        <v>2.4969999999999999</v>
      </c>
      <c r="D172" s="25">
        <v>38.71</v>
      </c>
      <c r="E172" s="25">
        <v>53.62</v>
      </c>
      <c r="F172">
        <v>7.02</v>
      </c>
      <c r="G172">
        <v>5.2</v>
      </c>
      <c r="H172">
        <v>8.73</v>
      </c>
      <c r="I172">
        <v>2.2599999999999998</v>
      </c>
      <c r="U172" s="32"/>
      <c r="V172" s="32"/>
      <c r="W172" s="32"/>
      <c r="X172" s="32"/>
      <c r="Y172" s="32"/>
      <c r="Z172" s="32"/>
    </row>
    <row r="173" spans="2:30" ht="15" thickBot="1" x14ac:dyDescent="0.4">
      <c r="B173" s="23">
        <v>26.35459798461391</v>
      </c>
      <c r="C173" s="24">
        <v>2.52</v>
      </c>
      <c r="D173" s="25">
        <v>38.58</v>
      </c>
      <c r="E173" s="25">
        <v>54.12</v>
      </c>
      <c r="F173">
        <v>6.98</v>
      </c>
      <c r="G173">
        <v>5.6</v>
      </c>
      <c r="H173">
        <v>8.8000000000000007</v>
      </c>
      <c r="I173">
        <v>2.2400000000000002</v>
      </c>
    </row>
    <row r="174" spans="2:30" ht="15" thickBot="1" x14ac:dyDescent="0.4">
      <c r="B174" s="23">
        <v>26.415613161485624</v>
      </c>
      <c r="C174" s="24">
        <v>2.504</v>
      </c>
      <c r="D174" s="25">
        <v>38.4</v>
      </c>
      <c r="E174" s="25">
        <v>55.02</v>
      </c>
      <c r="F174">
        <v>7.46</v>
      </c>
      <c r="G174">
        <v>6.04</v>
      </c>
      <c r="H174">
        <v>9.3800000000000008</v>
      </c>
      <c r="I174">
        <v>2.21</v>
      </c>
    </row>
    <row r="175" spans="2:30" ht="15" thickBot="1" x14ac:dyDescent="0.4">
      <c r="B175" s="23">
        <v>26.413768372199044</v>
      </c>
      <c r="C175" s="24">
        <v>2.6</v>
      </c>
      <c r="D175" s="25">
        <v>38.19</v>
      </c>
      <c r="E175" s="25">
        <v>55.91</v>
      </c>
      <c r="F175">
        <v>8.15</v>
      </c>
      <c r="G175">
        <v>7.02</v>
      </c>
      <c r="H175">
        <v>7.07</v>
      </c>
      <c r="I175">
        <v>2.19</v>
      </c>
      <c r="U175" s="31"/>
      <c r="V175" s="31"/>
      <c r="W175" s="31"/>
      <c r="X175" s="31"/>
      <c r="Y175" s="31"/>
      <c r="Z175" s="31"/>
    </row>
    <row r="176" spans="2:30" ht="15" thickBot="1" x14ac:dyDescent="0.4">
      <c r="B176" s="23">
        <v>26.494641619686462</v>
      </c>
      <c r="C176" s="24">
        <v>2.673</v>
      </c>
      <c r="D176" s="25">
        <v>37.97</v>
      </c>
      <c r="E176" s="25">
        <v>56.8</v>
      </c>
      <c r="F176">
        <v>8.4499999999999993</v>
      </c>
      <c r="G176">
        <v>7.05</v>
      </c>
      <c r="H176">
        <v>8.9700000000000006</v>
      </c>
      <c r="I176">
        <v>2.16</v>
      </c>
    </row>
    <row r="177" spans="2:29" ht="15" thickBot="1" x14ac:dyDescent="0.4">
      <c r="B177" s="23">
        <v>26.322077874962332</v>
      </c>
      <c r="C177" s="24">
        <v>2.3279999999999998</v>
      </c>
      <c r="D177" s="25">
        <v>37.770000000000003</v>
      </c>
      <c r="E177" s="25">
        <v>57.7</v>
      </c>
      <c r="F177">
        <v>8.49</v>
      </c>
      <c r="G177">
        <v>8.49</v>
      </c>
      <c r="H177">
        <v>13.87</v>
      </c>
      <c r="I177">
        <v>2.12</v>
      </c>
      <c r="U177" s="32"/>
      <c r="V177" s="32"/>
      <c r="W177" s="32"/>
      <c r="X177" s="32"/>
      <c r="Y177" s="32"/>
      <c r="Z177" s="32"/>
      <c r="AA177" s="32"/>
      <c r="AB177" s="32"/>
      <c r="AC177" s="32"/>
    </row>
    <row r="178" spans="2:29" ht="15" thickBot="1" x14ac:dyDescent="0.4">
      <c r="B178" s="23">
        <v>26.386949771936749</v>
      </c>
      <c r="C178" s="24">
        <v>2.1760000000000002</v>
      </c>
      <c r="D178" s="25">
        <v>37.54</v>
      </c>
      <c r="E178" s="25">
        <v>58.59</v>
      </c>
      <c r="F178">
        <v>9.59</v>
      </c>
      <c r="G178">
        <v>8.84</v>
      </c>
      <c r="H178">
        <v>11.79</v>
      </c>
      <c r="I178">
        <v>2.1</v>
      </c>
      <c r="V178" t="s">
        <v>111</v>
      </c>
    </row>
    <row r="179" spans="2:29" ht="15" thickBot="1" x14ac:dyDescent="0.4">
      <c r="B179" s="23">
        <v>26.35553807058356</v>
      </c>
      <c r="C179" s="24">
        <v>2.5110000000000001</v>
      </c>
      <c r="D179" s="25">
        <v>37.29</v>
      </c>
      <c r="E179" s="25">
        <v>59.44</v>
      </c>
      <c r="F179">
        <v>9.82</v>
      </c>
      <c r="G179">
        <v>9.83</v>
      </c>
      <c r="H179">
        <v>6.33</v>
      </c>
      <c r="I179">
        <v>2.0699999999999998</v>
      </c>
    </row>
    <row r="180" spans="2:29" ht="15" thickBot="1" x14ac:dyDescent="0.4">
      <c r="B180" s="23">
        <v>26.514068416036146</v>
      </c>
      <c r="C180" s="24">
        <v>3.2120000000000002</v>
      </c>
      <c r="D180" s="25">
        <v>36.99</v>
      </c>
      <c r="E180" s="25">
        <v>60.3</v>
      </c>
      <c r="F180">
        <v>10.19</v>
      </c>
      <c r="G180">
        <v>9.89</v>
      </c>
      <c r="H180">
        <v>10.25</v>
      </c>
      <c r="I180">
        <v>2.04</v>
      </c>
      <c r="V180" s="34" t="s">
        <v>112</v>
      </c>
      <c r="W180" s="34"/>
    </row>
    <row r="181" spans="2:29" ht="15" thickBot="1" x14ac:dyDescent="0.4">
      <c r="B181" s="23">
        <v>26.610152763845043</v>
      </c>
      <c r="C181" s="24">
        <v>5.0209999999999999</v>
      </c>
      <c r="D181" s="25">
        <v>36.65</v>
      </c>
      <c r="E181" s="25">
        <v>61.15</v>
      </c>
      <c r="F181">
        <v>12.02</v>
      </c>
      <c r="G181">
        <v>10.84</v>
      </c>
      <c r="H181">
        <v>10.220000000000001</v>
      </c>
      <c r="I181">
        <v>2.0099999999999998</v>
      </c>
      <c r="V181" t="s">
        <v>113</v>
      </c>
      <c r="W181">
        <v>0.99746188324090501</v>
      </c>
    </row>
    <row r="182" spans="2:29" ht="15" thickBot="1" x14ac:dyDescent="0.4">
      <c r="B182" s="23">
        <v>26.696813466277504</v>
      </c>
      <c r="C182" s="24">
        <v>6.9009999999999998</v>
      </c>
      <c r="D182" s="25">
        <v>36.33</v>
      </c>
      <c r="E182" s="25">
        <v>62</v>
      </c>
      <c r="F182">
        <v>11.54</v>
      </c>
      <c r="G182">
        <v>10.39</v>
      </c>
      <c r="H182">
        <v>8.98</v>
      </c>
      <c r="I182">
        <v>1.97</v>
      </c>
      <c r="V182" t="s">
        <v>114</v>
      </c>
      <c r="W182">
        <v>0.9949302085184929</v>
      </c>
    </row>
    <row r="183" spans="2:29" ht="15" thickBot="1" x14ac:dyDescent="0.4">
      <c r="B183" s="23">
        <v>26.753633147301262</v>
      </c>
      <c r="C183" s="24">
        <v>8.2289999999999992</v>
      </c>
      <c r="D183" s="25">
        <v>35.97</v>
      </c>
      <c r="E183" s="25">
        <v>62.85</v>
      </c>
      <c r="F183">
        <v>11.93</v>
      </c>
      <c r="G183">
        <v>10.69</v>
      </c>
      <c r="H183">
        <v>7.16</v>
      </c>
      <c r="I183">
        <v>1.94</v>
      </c>
      <c r="V183" t="s">
        <v>115</v>
      </c>
      <c r="W183">
        <v>0.99374725717280799</v>
      </c>
    </row>
    <row r="184" spans="2:29" ht="15" thickBot="1" x14ac:dyDescent="0.4">
      <c r="B184" s="23">
        <v>26.76673318575585</v>
      </c>
      <c r="C184" s="24">
        <v>6.7069999999999999</v>
      </c>
      <c r="D184" s="25">
        <v>35.57</v>
      </c>
      <c r="E184" s="25">
        <v>63.45</v>
      </c>
      <c r="F184">
        <v>12.68</v>
      </c>
      <c r="G184">
        <v>11.02</v>
      </c>
      <c r="H184">
        <v>13.23</v>
      </c>
      <c r="I184">
        <v>1.91</v>
      </c>
      <c r="V184" t="s">
        <v>116</v>
      </c>
      <c r="W184">
        <v>6.9744917397681752E-2</v>
      </c>
    </row>
    <row r="185" spans="2:29" ht="15" thickBot="1" x14ac:dyDescent="0.4">
      <c r="B185" s="23">
        <v>26.851924722819589</v>
      </c>
      <c r="C185" s="24">
        <v>2.62</v>
      </c>
      <c r="D185" s="25">
        <v>35.159999999999997</v>
      </c>
      <c r="E185" s="25">
        <v>64.05</v>
      </c>
      <c r="F185">
        <v>13.36</v>
      </c>
      <c r="G185">
        <v>11.45</v>
      </c>
      <c r="H185">
        <v>4.67</v>
      </c>
      <c r="I185">
        <v>1.87</v>
      </c>
      <c r="V185" s="31" t="s">
        <v>117</v>
      </c>
      <c r="W185" s="31">
        <v>38</v>
      </c>
    </row>
    <row r="186" spans="2:29" ht="15" thickBot="1" x14ac:dyDescent="0.4">
      <c r="B186" s="23">
        <v>26.872577660034214</v>
      </c>
      <c r="C186" s="24">
        <v>6.3319999999999999</v>
      </c>
      <c r="D186" s="25">
        <v>34.729999999999997</v>
      </c>
      <c r="E186" s="25">
        <v>64.650000000000006</v>
      </c>
      <c r="F186">
        <v>13.9</v>
      </c>
      <c r="G186">
        <v>13</v>
      </c>
      <c r="H186">
        <v>4.01</v>
      </c>
      <c r="I186">
        <v>1.84</v>
      </c>
      <c r="U186" s="31"/>
    </row>
    <row r="187" spans="2:29" ht="15" thickBot="1" x14ac:dyDescent="0.4">
      <c r="B187" s="23">
        <v>26.908323623040616</v>
      </c>
      <c r="C187" s="24">
        <v>8.2129999999999992</v>
      </c>
      <c r="D187" s="25">
        <v>34.36</v>
      </c>
      <c r="E187" s="25">
        <v>65.25</v>
      </c>
      <c r="F187">
        <v>13.43</v>
      </c>
      <c r="G187">
        <v>12.56</v>
      </c>
      <c r="H187">
        <v>3.78</v>
      </c>
      <c r="I187">
        <v>1.82</v>
      </c>
      <c r="V187" t="s">
        <v>118</v>
      </c>
    </row>
    <row r="188" spans="2:29" ht="15" thickBot="1" x14ac:dyDescent="0.4">
      <c r="B188" s="23">
        <v>26.967312242720016</v>
      </c>
      <c r="C188" s="24">
        <v>8.7720000000000002</v>
      </c>
      <c r="D188" s="25">
        <v>33.97</v>
      </c>
      <c r="E188" s="25">
        <v>65.849999999999994</v>
      </c>
      <c r="F188">
        <v>15.24</v>
      </c>
      <c r="G188">
        <v>14.26</v>
      </c>
      <c r="H188">
        <v>4.3</v>
      </c>
      <c r="I188">
        <v>1.79</v>
      </c>
      <c r="V188" s="33"/>
      <c r="W188" s="33" t="s">
        <v>119</v>
      </c>
      <c r="X188" s="33" t="s">
        <v>120</v>
      </c>
      <c r="Y188" s="33" t="s">
        <v>121</v>
      </c>
      <c r="Z188" s="33" t="s">
        <v>122</v>
      </c>
      <c r="AA188" s="33" t="s">
        <v>123</v>
      </c>
    </row>
    <row r="189" spans="2:29" ht="15" thickBot="1" x14ac:dyDescent="0.4">
      <c r="B189" s="23">
        <v>27.132946000233598</v>
      </c>
      <c r="C189" s="24">
        <v>9.1880000000000006</v>
      </c>
      <c r="D189" s="25">
        <v>33.56</v>
      </c>
      <c r="E189" s="25">
        <v>66.42</v>
      </c>
      <c r="F189">
        <v>15.64</v>
      </c>
      <c r="G189">
        <v>14.95</v>
      </c>
      <c r="H189">
        <v>3.81</v>
      </c>
      <c r="I189">
        <v>1.74</v>
      </c>
      <c r="V189" t="s">
        <v>124</v>
      </c>
      <c r="W189">
        <v>7</v>
      </c>
      <c r="X189">
        <v>28.638410055984469</v>
      </c>
      <c r="Y189">
        <v>4.09120143656921</v>
      </c>
      <c r="Z189">
        <v>841.05759053208214</v>
      </c>
      <c r="AA189">
        <v>1.2802423945092173E-32</v>
      </c>
    </row>
    <row r="190" spans="2:29" ht="15" thickBot="1" x14ac:dyDescent="0.4">
      <c r="B190" s="23">
        <v>27.287330812353115</v>
      </c>
      <c r="C190" s="24">
        <v>13.452</v>
      </c>
      <c r="D190" s="25">
        <v>33.15</v>
      </c>
      <c r="E190" s="25">
        <v>66.989999999999995</v>
      </c>
      <c r="F190">
        <v>19.64</v>
      </c>
      <c r="G190">
        <v>17.86</v>
      </c>
      <c r="H190">
        <v>3.77</v>
      </c>
      <c r="I190">
        <v>1.69</v>
      </c>
      <c r="V190" t="s">
        <v>125</v>
      </c>
      <c r="W190">
        <v>30</v>
      </c>
      <c r="X190">
        <v>0.14593060508428352</v>
      </c>
      <c r="Y190">
        <v>4.8643535028094504E-3</v>
      </c>
    </row>
    <row r="191" spans="2:29" ht="15" thickBot="1" x14ac:dyDescent="0.4">
      <c r="B191" s="23">
        <v>27.433035429339736</v>
      </c>
      <c r="C191" s="24">
        <v>19.661000000000001</v>
      </c>
      <c r="D191" s="25">
        <v>32.74</v>
      </c>
      <c r="E191" s="25">
        <v>67.56</v>
      </c>
      <c r="F191">
        <v>22.4</v>
      </c>
      <c r="G191">
        <v>19.61</v>
      </c>
      <c r="H191">
        <v>4.25</v>
      </c>
      <c r="I191">
        <v>1.62</v>
      </c>
      <c r="V191" s="31" t="s">
        <v>126</v>
      </c>
      <c r="W191" s="31">
        <v>37</v>
      </c>
      <c r="X191" s="31">
        <v>28.784340661068754</v>
      </c>
      <c r="Y191" s="31"/>
      <c r="Z191" s="31"/>
      <c r="AA191" s="31"/>
    </row>
    <row r="192" spans="2:29" ht="15" thickBot="1" x14ac:dyDescent="0.4">
      <c r="B192" s="23">
        <v>27.569422151436065</v>
      </c>
      <c r="C192" s="24">
        <v>23.242000000000001</v>
      </c>
      <c r="D192" s="25">
        <v>32.380000000000003</v>
      </c>
      <c r="E192" s="25">
        <v>68.14</v>
      </c>
      <c r="F192">
        <v>24.46</v>
      </c>
      <c r="G192">
        <v>21.27</v>
      </c>
      <c r="H192">
        <v>5.8</v>
      </c>
      <c r="I192">
        <v>1.54</v>
      </c>
    </row>
    <row r="193" spans="2:30" ht="15" thickBot="1" x14ac:dyDescent="0.4">
      <c r="B193" s="23">
        <v>27.827192520537938</v>
      </c>
      <c r="C193" s="24">
        <v>28.922000000000001</v>
      </c>
      <c r="D193" s="25">
        <v>32.01</v>
      </c>
      <c r="E193" s="25">
        <v>68.709999999999994</v>
      </c>
      <c r="F193">
        <v>24.89</v>
      </c>
      <c r="G193">
        <v>20.8</v>
      </c>
      <c r="H193">
        <v>6.37</v>
      </c>
      <c r="I193">
        <v>1.48</v>
      </c>
      <c r="V193" s="33"/>
      <c r="W193" s="33" t="s">
        <v>127</v>
      </c>
      <c r="X193" s="33" t="s">
        <v>116</v>
      </c>
      <c r="Y193" s="33" t="s">
        <v>128</v>
      </c>
      <c r="Z193" s="33" t="s">
        <v>129</v>
      </c>
      <c r="AA193" s="33" t="s">
        <v>130</v>
      </c>
      <c r="AB193" s="33" t="s">
        <v>131</v>
      </c>
      <c r="AC193" s="33" t="s">
        <v>132</v>
      </c>
      <c r="AD193" s="33" t="s">
        <v>133</v>
      </c>
    </row>
    <row r="194" spans="2:30" ht="15" thickBot="1" x14ac:dyDescent="0.4">
      <c r="B194" s="23">
        <v>27.812421900723301</v>
      </c>
      <c r="C194" s="24">
        <v>30.387</v>
      </c>
      <c r="D194" s="25">
        <v>31.64</v>
      </c>
      <c r="E194" s="25">
        <v>69.41</v>
      </c>
      <c r="F194">
        <v>29.27</v>
      </c>
      <c r="G194">
        <v>24.1</v>
      </c>
      <c r="H194">
        <v>8.35</v>
      </c>
      <c r="I194">
        <v>1.43</v>
      </c>
      <c r="V194" t="s">
        <v>134</v>
      </c>
      <c r="W194">
        <v>29.596207634367339</v>
      </c>
      <c r="X194">
        <v>1.7899794136328728</v>
      </c>
      <c r="Y194">
        <v>16.53438436719226</v>
      </c>
      <c r="Z194">
        <v>1.2816861102831381E-16</v>
      </c>
      <c r="AA194">
        <v>25.940581980558683</v>
      </c>
      <c r="AB194">
        <v>33.251833288175995</v>
      </c>
      <c r="AC194">
        <v>25.940581980558683</v>
      </c>
      <c r="AD194">
        <v>33.251833288175995</v>
      </c>
    </row>
    <row r="195" spans="2:30" ht="15" thickBot="1" x14ac:dyDescent="0.4">
      <c r="B195" s="23">
        <v>27.92509765224813</v>
      </c>
      <c r="C195" s="24">
        <v>27.024999999999999</v>
      </c>
      <c r="D195" s="25">
        <v>31.24</v>
      </c>
      <c r="E195" s="25">
        <v>70.11</v>
      </c>
      <c r="F195">
        <v>25.87</v>
      </c>
      <c r="G195">
        <v>20.399999999999999</v>
      </c>
      <c r="H195">
        <v>10.88</v>
      </c>
      <c r="I195">
        <v>1.4</v>
      </c>
      <c r="V195" t="s">
        <v>135</v>
      </c>
      <c r="W195">
        <v>2.720307988925813E-2</v>
      </c>
      <c r="X195">
        <v>7.260770906193632E-3</v>
      </c>
      <c r="Y195">
        <v>3.7465828685013562</v>
      </c>
      <c r="Z195">
        <v>7.6234586038945076E-4</v>
      </c>
      <c r="AA195">
        <v>1.2374607456025498E-2</v>
      </c>
      <c r="AB195">
        <v>4.2031552322490763E-2</v>
      </c>
      <c r="AC195">
        <v>1.2374607456025498E-2</v>
      </c>
      <c r="AD195">
        <v>4.2031552322490763E-2</v>
      </c>
    </row>
    <row r="196" spans="2:30" ht="15" thickBot="1" x14ac:dyDescent="0.4">
      <c r="B196" s="23">
        <v>28.147201578281397</v>
      </c>
      <c r="C196" s="24">
        <v>30.908999999999999</v>
      </c>
      <c r="D196" s="25">
        <v>30.81</v>
      </c>
      <c r="E196" s="25">
        <v>70.8</v>
      </c>
      <c r="F196">
        <v>26.85</v>
      </c>
      <c r="G196">
        <v>22.4</v>
      </c>
      <c r="H196">
        <v>11.99</v>
      </c>
      <c r="I196">
        <v>1.39</v>
      </c>
      <c r="V196" t="s">
        <v>136</v>
      </c>
      <c r="W196">
        <v>-0.15525202970211019</v>
      </c>
      <c r="X196">
        <v>4.5256743343460692E-2</v>
      </c>
      <c r="Y196">
        <v>-3.4304728584617239</v>
      </c>
      <c r="Z196">
        <v>1.7751913481120058E-3</v>
      </c>
      <c r="AA196">
        <v>-0.24767863009435437</v>
      </c>
      <c r="AB196">
        <v>-6.2825429309866024E-2</v>
      </c>
      <c r="AC196">
        <v>-0.24767863009435437</v>
      </c>
      <c r="AD196">
        <v>-6.2825429309866024E-2</v>
      </c>
    </row>
    <row r="197" spans="2:30" ht="15" thickBot="1" x14ac:dyDescent="0.4">
      <c r="B197" s="23">
        <v>28.231531998946945</v>
      </c>
      <c r="C197" s="24">
        <v>33.450000000000003</v>
      </c>
      <c r="D197" s="25">
        <v>30.4</v>
      </c>
      <c r="E197" s="25">
        <v>71.5</v>
      </c>
      <c r="F197">
        <v>31.08</v>
      </c>
      <c r="G197">
        <v>24.54</v>
      </c>
      <c r="H197">
        <v>8.91</v>
      </c>
      <c r="I197">
        <v>1.37</v>
      </c>
      <c r="V197" t="s">
        <v>137</v>
      </c>
      <c r="W197">
        <v>2.5926851412006763E-2</v>
      </c>
      <c r="X197">
        <v>1.5026215686492619E-2</v>
      </c>
      <c r="Y197">
        <v>1.7254411857879131</v>
      </c>
      <c r="Z197">
        <v>9.473665075790462E-2</v>
      </c>
      <c r="AA197">
        <v>-4.7607750069587063E-3</v>
      </c>
      <c r="AB197">
        <v>5.6614477830972232E-2</v>
      </c>
      <c r="AC197">
        <v>-4.7607750069587063E-3</v>
      </c>
      <c r="AD197">
        <v>5.6614477830972232E-2</v>
      </c>
    </row>
    <row r="198" spans="2:30" ht="15" thickBot="1" x14ac:dyDescent="0.4">
      <c r="B198" s="23">
        <v>28.234045461640768</v>
      </c>
      <c r="C198" s="24">
        <v>34.402000000000001</v>
      </c>
      <c r="D198" s="25">
        <v>29.93</v>
      </c>
      <c r="E198" s="25">
        <v>72.2</v>
      </c>
      <c r="F198">
        <v>31.26</v>
      </c>
      <c r="G198">
        <v>24.53</v>
      </c>
      <c r="H198">
        <v>9.48</v>
      </c>
      <c r="I198">
        <v>1.34</v>
      </c>
      <c r="V198" t="s">
        <v>138</v>
      </c>
      <c r="W198">
        <v>2.7880083364946812E-2</v>
      </c>
      <c r="X198">
        <v>1.3937639513044258E-2</v>
      </c>
      <c r="Y198">
        <v>2.0003447024766139</v>
      </c>
      <c r="Z198">
        <v>5.4585863039185271E-2</v>
      </c>
      <c r="AA198">
        <v>-5.8437391839927244E-4</v>
      </c>
      <c r="AB198">
        <v>5.6344540648292897E-2</v>
      </c>
      <c r="AC198">
        <v>-5.8437391839927244E-4</v>
      </c>
      <c r="AD198">
        <v>5.6344540648292897E-2</v>
      </c>
    </row>
    <row r="199" spans="2:30" ht="15" thickBot="1" x14ac:dyDescent="0.4">
      <c r="B199" s="23">
        <v>28.249833748650111</v>
      </c>
      <c r="C199" s="24">
        <v>32.362000000000002</v>
      </c>
      <c r="D199" s="25">
        <v>29.43</v>
      </c>
      <c r="E199" s="25">
        <v>72.599999999999994</v>
      </c>
      <c r="F199">
        <v>28.41</v>
      </c>
      <c r="G199">
        <v>25.43</v>
      </c>
      <c r="H199">
        <v>10.02</v>
      </c>
      <c r="I199">
        <v>1.31</v>
      </c>
      <c r="V199" t="s">
        <v>139</v>
      </c>
      <c r="W199">
        <v>-4.3349714909511526E-2</v>
      </c>
      <c r="X199">
        <v>1.7303263811222849E-2</v>
      </c>
      <c r="Y199">
        <v>-2.5052912203416224</v>
      </c>
      <c r="Z199">
        <v>1.7894070631552451E-2</v>
      </c>
      <c r="AA199">
        <v>-7.868769399528594E-2</v>
      </c>
      <c r="AB199">
        <v>-8.0117358237371192E-3</v>
      </c>
      <c r="AC199">
        <v>-7.868769399528594E-2</v>
      </c>
      <c r="AD199">
        <v>-8.0117358237371192E-3</v>
      </c>
    </row>
    <row r="200" spans="2:30" ht="15" thickBot="1" x14ac:dyDescent="0.4">
      <c r="B200" s="23">
        <v>28.343543109882685</v>
      </c>
      <c r="C200" s="24">
        <v>30.814</v>
      </c>
      <c r="D200" s="25">
        <v>28.93</v>
      </c>
      <c r="E200" s="25">
        <v>73</v>
      </c>
      <c r="F200">
        <v>25.95</v>
      </c>
      <c r="G200">
        <v>22.97</v>
      </c>
      <c r="H200">
        <v>6.67</v>
      </c>
      <c r="I200">
        <v>1.25</v>
      </c>
      <c r="V200" t="s">
        <v>140</v>
      </c>
      <c r="W200">
        <v>3.4755974770313484E-3</v>
      </c>
      <c r="X200">
        <v>5.0357198738145339E-3</v>
      </c>
      <c r="Y200" s="35">
        <v>0.69018880400879012</v>
      </c>
      <c r="Z200">
        <v>0.49538073090490409</v>
      </c>
      <c r="AA200">
        <v>-6.8087145189088191E-3</v>
      </c>
      <c r="AB200">
        <v>1.3759909472971517E-2</v>
      </c>
      <c r="AC200">
        <v>-6.8087145189088191E-3</v>
      </c>
      <c r="AD200">
        <v>1.3759909472971517E-2</v>
      </c>
    </row>
    <row r="201" spans="2:30" ht="15" thickBot="1" x14ac:dyDescent="0.4">
      <c r="B201" s="23">
        <v>28.374665485629396</v>
      </c>
      <c r="C201" s="24">
        <v>33.079000000000001</v>
      </c>
      <c r="D201" s="25">
        <v>28.44</v>
      </c>
      <c r="E201" s="25">
        <v>73.41</v>
      </c>
      <c r="F201">
        <v>22.11</v>
      </c>
      <c r="G201">
        <v>19.809999999999999</v>
      </c>
      <c r="H201">
        <v>4.91</v>
      </c>
      <c r="I201">
        <v>1.19</v>
      </c>
      <c r="V201" s="31" t="s">
        <v>141</v>
      </c>
      <c r="W201" s="31">
        <v>0.53710481307338487</v>
      </c>
      <c r="X201" s="31">
        <v>0.55026474157932881</v>
      </c>
      <c r="Y201" s="31">
        <v>0.97608436901086326</v>
      </c>
      <c r="Z201" s="31">
        <v>0.33682831639448507</v>
      </c>
      <c r="AA201" s="31">
        <v>-0.58668571232779687</v>
      </c>
      <c r="AB201" s="31">
        <v>1.6608953384745666</v>
      </c>
      <c r="AC201" s="31">
        <v>-0.58668571232779687</v>
      </c>
      <c r="AD201" s="31">
        <v>1.6608953384745666</v>
      </c>
    </row>
    <row r="202" spans="2:30" ht="15" thickBot="1" x14ac:dyDescent="0.4">
      <c r="B202" s="23">
        <v>28.461665929644546</v>
      </c>
      <c r="C202" s="24">
        <v>31.858000000000001</v>
      </c>
      <c r="D202" s="25">
        <v>27.93</v>
      </c>
      <c r="E202" s="25">
        <v>73.81</v>
      </c>
      <c r="F202">
        <v>20.92</v>
      </c>
      <c r="G202">
        <v>19.16</v>
      </c>
      <c r="H202">
        <v>4.95</v>
      </c>
      <c r="I202">
        <v>1.19</v>
      </c>
    </row>
    <row r="203" spans="2:30" ht="15" thickBot="1" x14ac:dyDescent="0.4">
      <c r="B203" s="23">
        <v>28.606136430331777</v>
      </c>
      <c r="C203" s="24">
        <v>31.620999999999999</v>
      </c>
      <c r="D203" s="25">
        <v>27.48</v>
      </c>
      <c r="E203" s="25">
        <v>74.209999999999994</v>
      </c>
      <c r="F203">
        <v>21.95</v>
      </c>
      <c r="G203">
        <v>18.79</v>
      </c>
      <c r="H203">
        <v>3.33</v>
      </c>
      <c r="I203">
        <v>1.1599999999999999</v>
      </c>
    </row>
    <row r="204" spans="2:30" ht="15" thickBot="1" x14ac:dyDescent="0.4">
      <c r="B204" s="23">
        <v>28.625357381760317</v>
      </c>
      <c r="C204" s="24">
        <v>33.765999999999998</v>
      </c>
      <c r="D204" s="25">
        <v>27.05</v>
      </c>
      <c r="E204" s="25">
        <v>74.59</v>
      </c>
      <c r="F204">
        <v>23.69</v>
      </c>
      <c r="G204">
        <v>19.93</v>
      </c>
      <c r="H204">
        <v>3.94</v>
      </c>
      <c r="I204">
        <v>1.0900000000000001</v>
      </c>
    </row>
    <row r="205" spans="2:30" ht="15" thickBot="1" x14ac:dyDescent="0.4">
      <c r="B205" s="23">
        <v>28.671846165741808</v>
      </c>
      <c r="C205" s="24">
        <v>34.173000000000002</v>
      </c>
      <c r="D205" s="25">
        <v>26.62</v>
      </c>
      <c r="E205" s="25">
        <v>74.98</v>
      </c>
      <c r="F205">
        <v>21.27</v>
      </c>
      <c r="G205">
        <v>18.690000000000001</v>
      </c>
      <c r="H205">
        <v>3.73</v>
      </c>
      <c r="I205">
        <v>1.03</v>
      </c>
      <c r="U205" s="30"/>
      <c r="V205" s="30"/>
      <c r="X205" t="s">
        <v>154</v>
      </c>
    </row>
    <row r="206" spans="2:30" ht="15" thickBot="1" x14ac:dyDescent="0.4">
      <c r="B206" s="23">
        <v>28.612233277545126</v>
      </c>
      <c r="C206" s="24">
        <v>33.630000000000003</v>
      </c>
      <c r="D206" s="25">
        <v>26.16</v>
      </c>
      <c r="E206" s="25">
        <v>75.37</v>
      </c>
      <c r="F206">
        <v>19.100000000000001</v>
      </c>
      <c r="G206">
        <v>18.71</v>
      </c>
      <c r="H206">
        <v>6.62</v>
      </c>
      <c r="I206">
        <v>0.96</v>
      </c>
      <c r="X206" t="s">
        <v>155</v>
      </c>
    </row>
    <row r="207" spans="2:30" ht="15" thickBot="1" x14ac:dyDescent="0.4">
      <c r="C207" s="23"/>
      <c r="D207" s="24"/>
      <c r="E207" s="25"/>
      <c r="X207" t="s">
        <v>156</v>
      </c>
    </row>
    <row r="208" spans="2:30" ht="15" thickBot="1" x14ac:dyDescent="0.4">
      <c r="C208" s="23"/>
      <c r="D208" s="24"/>
      <c r="E208" s="25"/>
    </row>
    <row r="209" spans="2:29" ht="15" thickBot="1" x14ac:dyDescent="0.4">
      <c r="C209" s="23"/>
      <c r="D209" s="24"/>
      <c r="E209" s="25"/>
      <c r="W209" s="32"/>
      <c r="X209" s="32"/>
      <c r="Y209" s="32"/>
      <c r="Z209" s="32"/>
    </row>
    <row r="210" spans="2:29" ht="15" thickBot="1" x14ac:dyDescent="0.4">
      <c r="C210" s="23"/>
      <c r="D210" s="24"/>
      <c r="E210" s="25"/>
      <c r="U210" s="31"/>
      <c r="V210" s="31"/>
    </row>
    <row r="211" spans="2:29" ht="15" thickBot="1" x14ac:dyDescent="0.4">
      <c r="C211" s="23"/>
      <c r="D211" s="24"/>
      <c r="E211" s="25"/>
    </row>
    <row r="212" spans="2:29" ht="15" thickBot="1" x14ac:dyDescent="0.4">
      <c r="C212" s="23"/>
      <c r="D212" s="24"/>
      <c r="E212" s="25"/>
    </row>
    <row r="213" spans="2:29" ht="15" thickBot="1" x14ac:dyDescent="0.4">
      <c r="C213" s="23"/>
      <c r="D213" s="24"/>
      <c r="E213" s="25"/>
      <c r="U213" s="32"/>
      <c r="V213" s="32"/>
      <c r="W213" s="32"/>
      <c r="X213" s="32"/>
      <c r="Y213" s="32"/>
      <c r="Z213" s="32"/>
    </row>
    <row r="214" spans="2:29" ht="15" thickBot="1" x14ac:dyDescent="0.4">
      <c r="C214" s="23"/>
      <c r="D214" s="24"/>
      <c r="E214" s="25"/>
    </row>
    <row r="215" spans="2:29" ht="15" thickBot="1" x14ac:dyDescent="0.4">
      <c r="C215" s="23"/>
      <c r="D215" s="24"/>
      <c r="E215" s="25"/>
    </row>
    <row r="216" spans="2:29" ht="15" thickBot="1" x14ac:dyDescent="0.4">
      <c r="C216" s="23"/>
      <c r="D216" s="24"/>
      <c r="E216" s="25"/>
      <c r="U216" s="31"/>
      <c r="V216" s="31"/>
      <c r="W216" s="31"/>
      <c r="X216" s="31"/>
      <c r="Y216" s="31"/>
      <c r="Z216" s="31"/>
    </row>
    <row r="217" spans="2:29" ht="15" thickBot="1" x14ac:dyDescent="0.4">
      <c r="C217" s="23"/>
      <c r="D217" s="24"/>
      <c r="E217" s="25"/>
    </row>
    <row r="218" spans="2:29" ht="15" thickBot="1" x14ac:dyDescent="0.4">
      <c r="B218" t="s">
        <v>60</v>
      </c>
      <c r="C218" t="s">
        <v>61</v>
      </c>
      <c r="D218" t="s">
        <v>62</v>
      </c>
      <c r="E218" t="s">
        <v>63</v>
      </c>
      <c r="F218" t="s">
        <v>65</v>
      </c>
      <c r="G218" t="s">
        <v>66</v>
      </c>
      <c r="H218" t="s">
        <v>70</v>
      </c>
      <c r="U218" s="32"/>
      <c r="V218" s="32"/>
      <c r="W218" s="32"/>
      <c r="X218" s="32"/>
      <c r="Y218" s="32"/>
      <c r="Z218" s="32"/>
      <c r="AA218" s="32"/>
      <c r="AB218" s="32"/>
      <c r="AC218" s="32"/>
    </row>
    <row r="219" spans="2:29" ht="15" thickBot="1" x14ac:dyDescent="0.4">
      <c r="B219" s="23">
        <v>26.108963265626635</v>
      </c>
      <c r="C219" s="24">
        <v>1.948</v>
      </c>
      <c r="D219" s="25">
        <v>39.020000000000003</v>
      </c>
      <c r="E219" s="25">
        <v>52.1</v>
      </c>
      <c r="F219">
        <v>7.85</v>
      </c>
      <c r="G219">
        <v>5.84</v>
      </c>
      <c r="H219">
        <v>2.2799999999999998</v>
      </c>
    </row>
    <row r="220" spans="2:29" ht="15" thickBot="1" x14ac:dyDescent="0.4">
      <c r="B220" s="23">
        <v>26.080598220791387</v>
      </c>
      <c r="C220" s="24">
        <v>2.2909999999999999</v>
      </c>
      <c r="D220" s="25">
        <v>38.909999999999997</v>
      </c>
      <c r="E220" s="25">
        <v>52.6</v>
      </c>
      <c r="F220">
        <v>7.73</v>
      </c>
      <c r="G220">
        <v>6.28</v>
      </c>
      <c r="H220">
        <v>2.29</v>
      </c>
    </row>
    <row r="221" spans="2:29" ht="15" thickBot="1" x14ac:dyDescent="0.4">
      <c r="B221" s="23">
        <v>26.172207148160084</v>
      </c>
      <c r="C221" s="24">
        <v>2.4929999999999999</v>
      </c>
      <c r="D221" s="25">
        <v>38.75</v>
      </c>
      <c r="E221" s="25">
        <v>53.11</v>
      </c>
      <c r="F221">
        <v>7.65</v>
      </c>
      <c r="G221">
        <v>5.25</v>
      </c>
      <c r="H221">
        <v>2.27</v>
      </c>
    </row>
    <row r="222" spans="2:29" ht="15" thickBot="1" x14ac:dyDescent="0.4">
      <c r="B222" s="23">
        <v>26.240662482996122</v>
      </c>
      <c r="C222" s="24">
        <v>2.4969999999999999</v>
      </c>
      <c r="D222" s="25">
        <v>38.71</v>
      </c>
      <c r="E222" s="25">
        <v>53.62</v>
      </c>
      <c r="F222">
        <v>7.02</v>
      </c>
      <c r="G222">
        <v>5.2</v>
      </c>
      <c r="H222">
        <v>2.2599999999999998</v>
      </c>
    </row>
    <row r="223" spans="2:29" ht="15" thickBot="1" x14ac:dyDescent="0.4">
      <c r="B223" s="23">
        <v>26.35459798461391</v>
      </c>
      <c r="C223" s="24">
        <v>2.52</v>
      </c>
      <c r="D223" s="25">
        <v>38.58</v>
      </c>
      <c r="E223" s="25">
        <v>54.12</v>
      </c>
      <c r="F223">
        <v>6.98</v>
      </c>
      <c r="G223">
        <v>5.6</v>
      </c>
      <c r="H223">
        <v>2.2400000000000002</v>
      </c>
    </row>
    <row r="224" spans="2:29" ht="15" thickBot="1" x14ac:dyDescent="0.4">
      <c r="B224" s="23">
        <v>26.415613161485624</v>
      </c>
      <c r="C224" s="24">
        <v>2.504</v>
      </c>
      <c r="D224" s="25">
        <v>38.4</v>
      </c>
      <c r="E224" s="25">
        <v>55.02</v>
      </c>
      <c r="F224">
        <v>7.46</v>
      </c>
      <c r="G224">
        <v>6.04</v>
      </c>
      <c r="H224">
        <v>2.21</v>
      </c>
    </row>
    <row r="225" spans="2:29" ht="15" thickBot="1" x14ac:dyDescent="0.4">
      <c r="B225" s="23">
        <v>26.413768372199044</v>
      </c>
      <c r="C225" s="24">
        <v>2.6</v>
      </c>
      <c r="D225" s="25">
        <v>38.19</v>
      </c>
      <c r="E225" s="25">
        <v>55.91</v>
      </c>
      <c r="F225">
        <v>8.15</v>
      </c>
      <c r="G225">
        <v>7.02</v>
      </c>
      <c r="H225">
        <v>2.19</v>
      </c>
    </row>
    <row r="226" spans="2:29" ht="15" thickBot="1" x14ac:dyDescent="0.4">
      <c r="B226" s="23">
        <v>26.494641619686462</v>
      </c>
      <c r="C226" s="24">
        <v>2.673</v>
      </c>
      <c r="D226" s="25">
        <v>37.97</v>
      </c>
      <c r="E226" s="25">
        <v>56.8</v>
      </c>
      <c r="F226">
        <v>8.4499999999999993</v>
      </c>
      <c r="G226">
        <v>7.05</v>
      </c>
      <c r="H226">
        <v>2.16</v>
      </c>
      <c r="U226" s="31"/>
      <c r="V226" s="31"/>
      <c r="W226" s="31"/>
      <c r="X226" s="31"/>
      <c r="Y226" s="31"/>
      <c r="Z226" s="31"/>
      <c r="AA226" s="31"/>
      <c r="AB226" s="31"/>
      <c r="AC226" s="31"/>
    </row>
    <row r="227" spans="2:29" ht="15" thickBot="1" x14ac:dyDescent="0.4">
      <c r="B227" s="23">
        <v>26.322077874962332</v>
      </c>
      <c r="C227" s="24">
        <v>2.3279999999999998</v>
      </c>
      <c r="D227" s="25">
        <v>37.770000000000003</v>
      </c>
      <c r="E227" s="25">
        <v>57.7</v>
      </c>
      <c r="F227">
        <v>8.49</v>
      </c>
      <c r="G227">
        <v>8.49</v>
      </c>
      <c r="H227">
        <v>2.12</v>
      </c>
    </row>
    <row r="228" spans="2:29" ht="15" thickBot="1" x14ac:dyDescent="0.4">
      <c r="B228" s="23">
        <v>26.386949771936749</v>
      </c>
      <c r="C228" s="24">
        <v>2.1760000000000002</v>
      </c>
      <c r="D228" s="25">
        <v>37.54</v>
      </c>
      <c r="E228" s="25">
        <v>58.59</v>
      </c>
      <c r="F228">
        <v>9.59</v>
      </c>
      <c r="G228">
        <v>8.84</v>
      </c>
      <c r="H228">
        <v>2.1</v>
      </c>
    </row>
    <row r="229" spans="2:29" ht="15" thickBot="1" x14ac:dyDescent="0.4">
      <c r="B229" s="23">
        <v>26.35553807058356</v>
      </c>
      <c r="C229" s="24">
        <v>2.5110000000000001</v>
      </c>
      <c r="D229" s="25">
        <v>37.29</v>
      </c>
      <c r="E229" s="25">
        <v>59.44</v>
      </c>
      <c r="F229">
        <v>9.82</v>
      </c>
      <c r="G229">
        <v>9.83</v>
      </c>
      <c r="H229">
        <v>2.0699999999999998</v>
      </c>
    </row>
    <row r="230" spans="2:29" ht="15" thickBot="1" x14ac:dyDescent="0.4">
      <c r="B230" s="23">
        <v>26.514068416036146</v>
      </c>
      <c r="C230" s="24">
        <v>3.2120000000000002</v>
      </c>
      <c r="D230" s="25">
        <v>36.99</v>
      </c>
      <c r="E230" s="25">
        <v>60.3</v>
      </c>
      <c r="F230">
        <v>10.19</v>
      </c>
      <c r="G230">
        <v>9.89</v>
      </c>
      <c r="H230">
        <v>2.04</v>
      </c>
    </row>
    <row r="231" spans="2:29" ht="15" thickBot="1" x14ac:dyDescent="0.4">
      <c r="B231" s="23">
        <v>26.610152763845043</v>
      </c>
      <c r="C231" s="24">
        <v>5.0209999999999999</v>
      </c>
      <c r="D231" s="25">
        <v>36.65</v>
      </c>
      <c r="E231" s="25">
        <v>61.15</v>
      </c>
      <c r="F231">
        <v>12.02</v>
      </c>
      <c r="G231">
        <v>10.84</v>
      </c>
      <c r="H231">
        <v>2.0099999999999998</v>
      </c>
    </row>
    <row r="232" spans="2:29" ht="15" thickBot="1" x14ac:dyDescent="0.4">
      <c r="B232" s="23">
        <v>26.696813466277504</v>
      </c>
      <c r="C232" s="24">
        <v>6.9009999999999998</v>
      </c>
      <c r="D232" s="25">
        <v>36.33</v>
      </c>
      <c r="E232" s="25">
        <v>62</v>
      </c>
      <c r="F232">
        <v>11.54</v>
      </c>
      <c r="G232">
        <v>10.39</v>
      </c>
      <c r="H232">
        <v>1.97</v>
      </c>
    </row>
    <row r="233" spans="2:29" ht="15" thickBot="1" x14ac:dyDescent="0.4">
      <c r="B233" s="23">
        <v>26.753633147301262</v>
      </c>
      <c r="C233" s="24">
        <v>8.2289999999999992</v>
      </c>
      <c r="D233" s="25">
        <v>35.97</v>
      </c>
      <c r="E233" s="25">
        <v>62.85</v>
      </c>
      <c r="F233">
        <v>11.93</v>
      </c>
      <c r="G233">
        <v>10.69</v>
      </c>
      <c r="H233">
        <v>1.94</v>
      </c>
    </row>
    <row r="234" spans="2:29" ht="15" thickBot="1" x14ac:dyDescent="0.4">
      <c r="B234" s="23">
        <v>26.76673318575585</v>
      </c>
      <c r="C234" s="24">
        <v>6.7069999999999999</v>
      </c>
      <c r="D234" s="25">
        <v>35.57</v>
      </c>
      <c r="E234" s="25">
        <v>63.45</v>
      </c>
      <c r="F234">
        <v>12.68</v>
      </c>
      <c r="G234">
        <v>11.02</v>
      </c>
      <c r="H234">
        <v>1.91</v>
      </c>
    </row>
    <row r="235" spans="2:29" ht="15" thickBot="1" x14ac:dyDescent="0.4">
      <c r="B235" s="23">
        <v>26.851924722819589</v>
      </c>
      <c r="C235" s="24">
        <v>2.62</v>
      </c>
      <c r="D235" s="25">
        <v>35.159999999999997</v>
      </c>
      <c r="E235" s="25">
        <v>64.05</v>
      </c>
      <c r="F235">
        <v>13.36</v>
      </c>
      <c r="G235">
        <v>11.45</v>
      </c>
      <c r="H235">
        <v>1.87</v>
      </c>
    </row>
    <row r="236" spans="2:29" ht="15" thickBot="1" x14ac:dyDescent="0.4">
      <c r="B236" s="23">
        <v>26.872577660034214</v>
      </c>
      <c r="C236" s="24">
        <v>6.3319999999999999</v>
      </c>
      <c r="D236" s="25">
        <v>34.729999999999997</v>
      </c>
      <c r="E236" s="25">
        <v>64.650000000000006</v>
      </c>
      <c r="F236">
        <v>13.9</v>
      </c>
      <c r="G236">
        <v>13</v>
      </c>
      <c r="H236">
        <v>1.84</v>
      </c>
      <c r="W236" t="s">
        <v>111</v>
      </c>
    </row>
    <row r="237" spans="2:29" ht="15" thickBot="1" x14ac:dyDescent="0.4">
      <c r="B237" s="23">
        <v>26.908323623040616</v>
      </c>
      <c r="C237" s="24">
        <v>8.2129999999999992</v>
      </c>
      <c r="D237" s="25">
        <v>34.36</v>
      </c>
      <c r="E237" s="25">
        <v>65.25</v>
      </c>
      <c r="F237">
        <v>13.43</v>
      </c>
      <c r="G237">
        <v>12.56</v>
      </c>
      <c r="H237">
        <v>1.82</v>
      </c>
    </row>
    <row r="238" spans="2:29" ht="15" thickBot="1" x14ac:dyDescent="0.4">
      <c r="B238" s="23">
        <v>26.967312242720016</v>
      </c>
      <c r="C238" s="24">
        <v>8.7720000000000002</v>
      </c>
      <c r="D238" s="25">
        <v>33.97</v>
      </c>
      <c r="E238" s="25">
        <v>65.849999999999994</v>
      </c>
      <c r="F238">
        <v>15.24</v>
      </c>
      <c r="G238">
        <v>14.26</v>
      </c>
      <c r="H238">
        <v>1.79</v>
      </c>
      <c r="W238" s="34" t="s">
        <v>112</v>
      </c>
      <c r="X238" s="34"/>
    </row>
    <row r="239" spans="2:29" ht="15" thickBot="1" x14ac:dyDescent="0.4">
      <c r="B239" s="23">
        <v>27.132946000233598</v>
      </c>
      <c r="C239" s="24">
        <v>9.1880000000000006</v>
      </c>
      <c r="D239" s="25">
        <v>33.56</v>
      </c>
      <c r="E239" s="25">
        <v>66.42</v>
      </c>
      <c r="F239">
        <v>15.64</v>
      </c>
      <c r="G239">
        <v>14.95</v>
      </c>
      <c r="H239">
        <v>1.74</v>
      </c>
      <c r="W239" t="s">
        <v>113</v>
      </c>
      <c r="X239">
        <v>0.99742152918943827</v>
      </c>
    </row>
    <row r="240" spans="2:29" ht="15" thickBot="1" x14ac:dyDescent="0.4">
      <c r="B240" s="23">
        <v>27.287330812353115</v>
      </c>
      <c r="C240" s="24">
        <v>13.452</v>
      </c>
      <c r="D240" s="25">
        <v>33.15</v>
      </c>
      <c r="E240" s="25">
        <v>66.989999999999995</v>
      </c>
      <c r="F240">
        <v>19.64</v>
      </c>
      <c r="G240">
        <v>17.86</v>
      </c>
      <c r="H240">
        <v>1.69</v>
      </c>
      <c r="W240" t="s">
        <v>114</v>
      </c>
      <c r="X240">
        <v>0.99484970689059737</v>
      </c>
    </row>
    <row r="241" spans="2:31" ht="15" thickBot="1" x14ac:dyDescent="0.4">
      <c r="B241" s="23">
        <v>27.433035429339736</v>
      </c>
      <c r="C241" s="24">
        <v>19.661000000000001</v>
      </c>
      <c r="D241" s="25">
        <v>32.74</v>
      </c>
      <c r="E241" s="25">
        <v>67.56</v>
      </c>
      <c r="F241">
        <v>22.4</v>
      </c>
      <c r="G241">
        <v>19.61</v>
      </c>
      <c r="H241">
        <v>1.62</v>
      </c>
      <c r="W241" t="s">
        <v>115</v>
      </c>
      <c r="X241">
        <v>0.99385287596619687</v>
      </c>
    </row>
    <row r="242" spans="2:31" ht="15" thickBot="1" x14ac:dyDescent="0.4">
      <c r="B242" s="23">
        <v>27.569422151436065</v>
      </c>
      <c r="C242" s="24">
        <v>23.242000000000001</v>
      </c>
      <c r="D242" s="25">
        <v>32.380000000000003</v>
      </c>
      <c r="E242" s="25">
        <v>68.14</v>
      </c>
      <c r="F242">
        <v>24.46</v>
      </c>
      <c r="G242">
        <v>21.27</v>
      </c>
      <c r="H242">
        <v>1.54</v>
      </c>
      <c r="W242" t="s">
        <v>116</v>
      </c>
      <c r="X242">
        <v>6.9153357244885097E-2</v>
      </c>
    </row>
    <row r="243" spans="2:31" ht="15" thickBot="1" x14ac:dyDescent="0.4">
      <c r="B243" s="23">
        <v>27.827192520537938</v>
      </c>
      <c r="C243" s="24">
        <v>28.922000000000001</v>
      </c>
      <c r="D243" s="25">
        <v>32.01</v>
      </c>
      <c r="E243" s="25">
        <v>68.709999999999994</v>
      </c>
      <c r="F243">
        <v>24.89</v>
      </c>
      <c r="G243">
        <v>20.8</v>
      </c>
      <c r="H243">
        <v>1.48</v>
      </c>
      <c r="W243" s="31" t="s">
        <v>117</v>
      </c>
      <c r="X243" s="31">
        <v>38</v>
      </c>
    </row>
    <row r="244" spans="2:31" ht="15" thickBot="1" x14ac:dyDescent="0.4">
      <c r="B244" s="23">
        <v>27.812421900723301</v>
      </c>
      <c r="C244" s="24">
        <v>30.387</v>
      </c>
      <c r="D244" s="25">
        <v>31.64</v>
      </c>
      <c r="E244" s="25">
        <v>69.41</v>
      </c>
      <c r="F244">
        <v>29.27</v>
      </c>
      <c r="G244">
        <v>24.1</v>
      </c>
      <c r="H244">
        <v>1.43</v>
      </c>
    </row>
    <row r="245" spans="2:31" ht="15" thickBot="1" x14ac:dyDescent="0.4">
      <c r="B245" s="23">
        <v>27.92509765224813</v>
      </c>
      <c r="C245" s="24">
        <v>27.024999999999999</v>
      </c>
      <c r="D245" s="25">
        <v>31.24</v>
      </c>
      <c r="E245" s="25">
        <v>70.11</v>
      </c>
      <c r="F245">
        <v>25.87</v>
      </c>
      <c r="G245">
        <v>20.399999999999999</v>
      </c>
      <c r="H245">
        <v>1.4</v>
      </c>
      <c r="W245" t="s">
        <v>118</v>
      </c>
    </row>
    <row r="246" spans="2:31" ht="15" thickBot="1" x14ac:dyDescent="0.4">
      <c r="B246" s="23">
        <v>28.147201578281397</v>
      </c>
      <c r="C246" s="24">
        <v>30.908999999999999</v>
      </c>
      <c r="D246" s="25">
        <v>30.81</v>
      </c>
      <c r="E246" s="25">
        <v>70.8</v>
      </c>
      <c r="F246">
        <v>26.85</v>
      </c>
      <c r="G246">
        <v>22.4</v>
      </c>
      <c r="H246">
        <v>1.39</v>
      </c>
      <c r="W246" s="33"/>
      <c r="X246" s="33" t="s">
        <v>119</v>
      </c>
      <c r="Y246" s="33" t="s">
        <v>120</v>
      </c>
      <c r="Z246" s="33" t="s">
        <v>121</v>
      </c>
      <c r="AA246" s="33" t="s">
        <v>122</v>
      </c>
      <c r="AB246" s="33" t="s">
        <v>123</v>
      </c>
    </row>
    <row r="247" spans="2:31" ht="15" thickBot="1" x14ac:dyDescent="0.4">
      <c r="B247" s="23">
        <v>28.231531998946945</v>
      </c>
      <c r="C247" s="24">
        <v>33.450000000000003</v>
      </c>
      <c r="D247" s="25">
        <v>30.4</v>
      </c>
      <c r="E247" s="25">
        <v>71.5</v>
      </c>
      <c r="F247">
        <v>31.08</v>
      </c>
      <c r="G247">
        <v>24.54</v>
      </c>
      <c r="H247">
        <v>1.37</v>
      </c>
      <c r="W247" t="s">
        <v>124</v>
      </c>
      <c r="X247">
        <v>6</v>
      </c>
      <c r="Y247">
        <v>28.636092869703354</v>
      </c>
      <c r="Z247">
        <v>4.7726821449505588</v>
      </c>
      <c r="AA247">
        <v>998.01248390132037</v>
      </c>
      <c r="AB247">
        <v>4.8828640368603003E-34</v>
      </c>
    </row>
    <row r="248" spans="2:31" ht="15" thickBot="1" x14ac:dyDescent="0.4">
      <c r="B248" s="23">
        <v>28.234045461640768</v>
      </c>
      <c r="C248" s="24">
        <v>34.402000000000001</v>
      </c>
      <c r="D248" s="25">
        <v>29.93</v>
      </c>
      <c r="E248" s="25">
        <v>72.2</v>
      </c>
      <c r="F248">
        <v>31.26</v>
      </c>
      <c r="G248">
        <v>24.53</v>
      </c>
      <c r="H248">
        <v>1.34</v>
      </c>
      <c r="W248" t="s">
        <v>125</v>
      </c>
      <c r="X248">
        <v>31</v>
      </c>
      <c r="Y248">
        <v>0.14824779136539976</v>
      </c>
      <c r="Z248">
        <v>4.7821868182387015E-3</v>
      </c>
    </row>
    <row r="249" spans="2:31" ht="15" thickBot="1" x14ac:dyDescent="0.4">
      <c r="B249" s="23">
        <v>28.249833748650111</v>
      </c>
      <c r="C249" s="24">
        <v>32.362000000000002</v>
      </c>
      <c r="D249" s="25">
        <v>29.43</v>
      </c>
      <c r="E249" s="25">
        <v>72.599999999999994</v>
      </c>
      <c r="F249">
        <v>28.41</v>
      </c>
      <c r="G249">
        <v>25.43</v>
      </c>
      <c r="H249">
        <v>1.31</v>
      </c>
      <c r="U249" s="30"/>
      <c r="V249" s="30"/>
      <c r="W249" s="31" t="s">
        <v>126</v>
      </c>
      <c r="X249" s="31">
        <v>37</v>
      </c>
      <c r="Y249" s="31">
        <v>28.784340661068754</v>
      </c>
      <c r="Z249" s="31"/>
      <c r="AA249" s="31"/>
      <c r="AB249" s="31"/>
    </row>
    <row r="250" spans="2:31" ht="15" thickBot="1" x14ac:dyDescent="0.4">
      <c r="B250" s="23">
        <v>28.343543109882685</v>
      </c>
      <c r="C250" s="24">
        <v>30.814</v>
      </c>
      <c r="D250" s="25">
        <v>28.93</v>
      </c>
      <c r="E250" s="25">
        <v>73</v>
      </c>
      <c r="F250">
        <v>25.95</v>
      </c>
      <c r="G250">
        <v>22.97</v>
      </c>
      <c r="H250">
        <v>1.25</v>
      </c>
    </row>
    <row r="251" spans="2:31" ht="15" thickBot="1" x14ac:dyDescent="0.4">
      <c r="B251" s="23">
        <v>28.374665485629396</v>
      </c>
      <c r="C251" s="24">
        <v>33.079000000000001</v>
      </c>
      <c r="D251" s="25">
        <v>28.44</v>
      </c>
      <c r="E251" s="25">
        <v>73.41</v>
      </c>
      <c r="F251">
        <v>22.11</v>
      </c>
      <c r="G251">
        <v>19.809999999999999</v>
      </c>
      <c r="H251">
        <v>1.19</v>
      </c>
      <c r="W251" s="33"/>
      <c r="X251" s="33" t="s">
        <v>127</v>
      </c>
      <c r="Y251" s="33" t="s">
        <v>116</v>
      </c>
      <c r="Z251" s="33" t="s">
        <v>128</v>
      </c>
      <c r="AA251" s="33" t="s">
        <v>129</v>
      </c>
      <c r="AB251" s="33" t="s">
        <v>130</v>
      </c>
      <c r="AC251" s="33" t="s">
        <v>131</v>
      </c>
      <c r="AD251" s="33" t="s">
        <v>132</v>
      </c>
      <c r="AE251" s="33" t="s">
        <v>133</v>
      </c>
    </row>
    <row r="252" spans="2:31" ht="15" thickBot="1" x14ac:dyDescent="0.4">
      <c r="B252" s="23">
        <v>28.461665929644546</v>
      </c>
      <c r="C252" s="24">
        <v>31.858000000000001</v>
      </c>
      <c r="D252" s="25">
        <v>27.93</v>
      </c>
      <c r="E252" s="25">
        <v>73.81</v>
      </c>
      <c r="F252">
        <v>20.92</v>
      </c>
      <c r="G252">
        <v>19.16</v>
      </c>
      <c r="H252">
        <v>1.19</v>
      </c>
      <c r="W252" t="s">
        <v>134</v>
      </c>
      <c r="X252">
        <v>29.237235936282396</v>
      </c>
      <c r="Y252">
        <v>1.6982237056464735</v>
      </c>
      <c r="Z252">
        <v>17.216363096964585</v>
      </c>
      <c r="AA252">
        <v>2.0198211982120768E-17</v>
      </c>
      <c r="AB252">
        <v>25.773685853627278</v>
      </c>
      <c r="AC252">
        <v>32.700786018937514</v>
      </c>
      <c r="AD252">
        <v>25.773685853627278</v>
      </c>
      <c r="AE252">
        <v>32.700786018937514</v>
      </c>
    </row>
    <row r="253" spans="2:31" ht="15" thickBot="1" x14ac:dyDescent="0.4">
      <c r="B253" s="23">
        <v>28.606136430331777</v>
      </c>
      <c r="C253" s="24">
        <v>31.620999999999999</v>
      </c>
      <c r="D253" s="25">
        <v>27.48</v>
      </c>
      <c r="E253" s="25">
        <v>74.209999999999994</v>
      </c>
      <c r="F253">
        <v>21.95</v>
      </c>
      <c r="G253">
        <v>18.79</v>
      </c>
      <c r="H253">
        <v>1.1599999999999999</v>
      </c>
      <c r="W253" t="s">
        <v>135</v>
      </c>
      <c r="X253">
        <v>2.8591254876756695E-2</v>
      </c>
      <c r="Y253">
        <v>6.9174637026148842E-3</v>
      </c>
      <c r="Z253">
        <v>4.1331991183342032</v>
      </c>
      <c r="AA253">
        <v>2.5192895113025767E-4</v>
      </c>
      <c r="AB253">
        <v>1.4482994640314554E-2</v>
      </c>
      <c r="AC253">
        <v>4.2699515113198833E-2</v>
      </c>
      <c r="AD253">
        <v>1.4482994640314554E-2</v>
      </c>
      <c r="AE253">
        <v>4.2699515113198833E-2</v>
      </c>
    </row>
    <row r="254" spans="2:31" ht="15" thickBot="1" x14ac:dyDescent="0.4">
      <c r="B254" s="23">
        <v>28.625357381760317</v>
      </c>
      <c r="C254" s="24">
        <v>33.765999999999998</v>
      </c>
      <c r="D254" s="25">
        <v>27.05</v>
      </c>
      <c r="E254" s="25">
        <v>74.59</v>
      </c>
      <c r="F254">
        <v>23.69</v>
      </c>
      <c r="G254">
        <v>19.93</v>
      </c>
      <c r="H254">
        <v>1.0900000000000001</v>
      </c>
      <c r="U254" s="31"/>
      <c r="V254" s="31"/>
      <c r="W254" t="s">
        <v>136</v>
      </c>
      <c r="X254">
        <v>-0.14169846557424992</v>
      </c>
      <c r="Y254">
        <v>4.0428448805108728E-2</v>
      </c>
      <c r="Z254">
        <v>-3.5049196732065622</v>
      </c>
      <c r="AA254">
        <v>1.4142660651251229E-3</v>
      </c>
      <c r="AB254">
        <v>-0.22415283052921797</v>
      </c>
      <c r="AC254">
        <v>-5.924410061928187E-2</v>
      </c>
      <c r="AD254">
        <v>-0.22415283052921797</v>
      </c>
      <c r="AE254">
        <v>-5.924410061928187E-2</v>
      </c>
    </row>
    <row r="255" spans="2:31" ht="15" thickBot="1" x14ac:dyDescent="0.4">
      <c r="B255" s="23">
        <v>28.671846165741808</v>
      </c>
      <c r="C255" s="24">
        <v>34.173000000000002</v>
      </c>
      <c r="D255" s="25">
        <v>26.62</v>
      </c>
      <c r="E255" s="25">
        <v>74.98</v>
      </c>
      <c r="F255">
        <v>21.27</v>
      </c>
      <c r="G255">
        <v>18.690000000000001</v>
      </c>
      <c r="H255">
        <v>1.03</v>
      </c>
      <c r="W255" t="s">
        <v>137</v>
      </c>
      <c r="X255">
        <v>2.683362219857267E-2</v>
      </c>
      <c r="Y255">
        <v>1.4841709326660013E-2</v>
      </c>
      <c r="Z255">
        <v>1.8079873152057833</v>
      </c>
      <c r="AA255">
        <v>8.0320097715292943E-2</v>
      </c>
      <c r="AB255">
        <v>-3.4362435406574063E-3</v>
      </c>
      <c r="AC255">
        <v>5.7103487937802747E-2</v>
      </c>
      <c r="AD255">
        <v>-3.4362435406574063E-3</v>
      </c>
      <c r="AE255">
        <v>5.7103487937802747E-2</v>
      </c>
    </row>
    <row r="256" spans="2:31" ht="15" thickBot="1" x14ac:dyDescent="0.4">
      <c r="B256" s="23">
        <v>28.612233277545126</v>
      </c>
      <c r="C256" s="24">
        <v>33.630000000000003</v>
      </c>
      <c r="D256" s="25">
        <v>26.16</v>
      </c>
      <c r="E256" s="25">
        <v>75.37</v>
      </c>
      <c r="F256">
        <v>19.100000000000001</v>
      </c>
      <c r="G256">
        <v>18.71</v>
      </c>
      <c r="H256">
        <v>0.96</v>
      </c>
      <c r="W256" t="s">
        <v>138</v>
      </c>
      <c r="X256">
        <v>2.7179011398717843E-2</v>
      </c>
      <c r="Y256">
        <v>1.3782674431060829E-2</v>
      </c>
      <c r="Z256">
        <v>1.9719693398159968</v>
      </c>
      <c r="AA256">
        <v>5.7592393887073108E-2</v>
      </c>
      <c r="AB256">
        <v>-9.3093843073468324E-4</v>
      </c>
      <c r="AC256">
        <v>5.5288961228170369E-2</v>
      </c>
      <c r="AD256">
        <v>-9.3093843073468324E-4</v>
      </c>
      <c r="AE256">
        <v>5.5288961228170369E-2</v>
      </c>
    </row>
    <row r="257" spans="2:31" ht="15" thickBot="1" x14ac:dyDescent="0.4">
      <c r="C257" s="23"/>
      <c r="D257" s="24"/>
      <c r="E257" s="25"/>
      <c r="U257" s="32"/>
      <c r="V257" s="32"/>
      <c r="W257" t="s">
        <v>139</v>
      </c>
      <c r="X257">
        <v>-4.3562518975400553E-2</v>
      </c>
      <c r="Y257">
        <v>1.7153777592911024E-2</v>
      </c>
      <c r="Z257">
        <v>-2.5395291934648387</v>
      </c>
      <c r="AA257">
        <v>1.6332573281069723E-2</v>
      </c>
      <c r="AB257">
        <v>-7.8547879032635992E-2</v>
      </c>
      <c r="AC257">
        <v>-8.5771589181651078E-3</v>
      </c>
      <c r="AD257">
        <v>-7.8547879032635992E-2</v>
      </c>
      <c r="AE257">
        <v>-8.5771589181651078E-3</v>
      </c>
    </row>
    <row r="258" spans="2:31" ht="15" thickBot="1" x14ac:dyDescent="0.4">
      <c r="C258" s="23"/>
      <c r="D258" s="24"/>
      <c r="E258" s="25"/>
      <c r="W258" s="31" t="s">
        <v>140</v>
      </c>
      <c r="X258" s="31">
        <v>0.45748351136354021</v>
      </c>
      <c r="Y258" s="31">
        <v>0.53347272882140362</v>
      </c>
      <c r="Z258" s="36">
        <v>0.85755744698375547</v>
      </c>
      <c r="AA258" s="31">
        <v>0.39771847827836537</v>
      </c>
      <c r="AB258" s="31">
        <v>-0.63054129235349721</v>
      </c>
      <c r="AC258" s="31">
        <v>1.5455083150805777</v>
      </c>
      <c r="AD258" s="31">
        <v>-0.63054129235349721</v>
      </c>
      <c r="AE258" s="31">
        <v>1.5455083150805777</v>
      </c>
    </row>
    <row r="259" spans="2:31" ht="15" thickBot="1" x14ac:dyDescent="0.4">
      <c r="C259" s="23"/>
      <c r="D259" s="24"/>
      <c r="E259" s="25"/>
    </row>
    <row r="260" spans="2:31" ht="15" thickBot="1" x14ac:dyDescent="0.4">
      <c r="C260" s="23"/>
      <c r="D260" s="24"/>
      <c r="E260" s="25"/>
      <c r="U260" s="31"/>
      <c r="V260" s="31"/>
    </row>
    <row r="261" spans="2:31" ht="15" thickBot="1" x14ac:dyDescent="0.4">
      <c r="C261" s="23"/>
      <c r="D261" s="24"/>
      <c r="E261" s="25"/>
    </row>
    <row r="262" spans="2:31" ht="15" thickBot="1" x14ac:dyDescent="0.4">
      <c r="C262" s="23"/>
      <c r="D262" s="24"/>
      <c r="E262" s="25"/>
      <c r="U262" s="32"/>
      <c r="V262" s="32"/>
      <c r="W262" s="32"/>
      <c r="X262" s="32"/>
      <c r="Y262" s="32"/>
      <c r="Z262" s="32"/>
      <c r="AA262" s="32"/>
      <c r="AB262" s="32"/>
      <c r="AC262" s="32"/>
    </row>
    <row r="263" spans="2:31" ht="15" thickBot="1" x14ac:dyDescent="0.4">
      <c r="C263" s="23"/>
      <c r="D263" s="24"/>
      <c r="E263" s="25"/>
    </row>
    <row r="264" spans="2:31" ht="15" thickBot="1" x14ac:dyDescent="0.4">
      <c r="C264" s="23"/>
      <c r="D264" s="24"/>
      <c r="E264" s="25"/>
    </row>
    <row r="265" spans="2:31" ht="15" thickBot="1" x14ac:dyDescent="0.4">
      <c r="C265" s="23"/>
      <c r="D265" s="24"/>
      <c r="E265" s="25"/>
    </row>
    <row r="266" spans="2:31" ht="15" thickBot="1" x14ac:dyDescent="0.4">
      <c r="C266" s="23"/>
      <c r="D266" s="24"/>
      <c r="E266" s="25"/>
    </row>
    <row r="267" spans="2:31" ht="15" thickBot="1" x14ac:dyDescent="0.4">
      <c r="C267" s="23"/>
      <c r="D267" s="24"/>
      <c r="E267" s="25"/>
    </row>
    <row r="268" spans="2:31" ht="15" thickBot="1" x14ac:dyDescent="0.4">
      <c r="B268" t="s">
        <v>60</v>
      </c>
      <c r="C268" t="s">
        <v>61</v>
      </c>
      <c r="D268" t="s">
        <v>62</v>
      </c>
      <c r="E268" t="s">
        <v>65</v>
      </c>
      <c r="F268" t="s">
        <v>66</v>
      </c>
      <c r="W268" t="s">
        <v>157</v>
      </c>
    </row>
    <row r="269" spans="2:31" ht="15" thickBot="1" x14ac:dyDescent="0.4">
      <c r="B269" s="23">
        <v>26.108963265626635</v>
      </c>
      <c r="C269" s="24">
        <v>1.948</v>
      </c>
      <c r="D269" s="25">
        <v>39.020000000000003</v>
      </c>
      <c r="E269">
        <v>7.85</v>
      </c>
      <c r="F269">
        <v>5.84</v>
      </c>
      <c r="U269" s="31"/>
      <c r="V269" s="31"/>
      <c r="W269" t="s">
        <v>158</v>
      </c>
      <c r="AA269" s="31"/>
      <c r="AB269" s="31"/>
      <c r="AC269" s="31"/>
    </row>
    <row r="270" spans="2:31" ht="15" thickBot="1" x14ac:dyDescent="0.4">
      <c r="B270" s="23">
        <v>26.080598220791387</v>
      </c>
      <c r="C270" s="24">
        <v>2.2909999999999999</v>
      </c>
      <c r="D270" s="25">
        <v>38.909999999999997</v>
      </c>
      <c r="E270">
        <v>7.73</v>
      </c>
      <c r="F270">
        <v>6.28</v>
      </c>
      <c r="W270" t="s">
        <v>159</v>
      </c>
    </row>
    <row r="271" spans="2:31" ht="15" thickBot="1" x14ac:dyDescent="0.4">
      <c r="B271" s="23">
        <v>26.172207148160084</v>
      </c>
      <c r="C271" s="24">
        <v>2.4929999999999999</v>
      </c>
      <c r="D271" s="25">
        <v>38.75</v>
      </c>
      <c r="E271">
        <v>7.65</v>
      </c>
      <c r="F271">
        <v>5.25</v>
      </c>
    </row>
    <row r="272" spans="2:31" ht="15" thickBot="1" x14ac:dyDescent="0.4">
      <c r="B272" s="23">
        <v>26.240662482996122</v>
      </c>
      <c r="C272" s="24">
        <v>2.4969999999999999</v>
      </c>
      <c r="D272" s="25">
        <v>38.71</v>
      </c>
      <c r="E272">
        <v>7.02</v>
      </c>
      <c r="F272">
        <v>5.2</v>
      </c>
      <c r="W272" s="32"/>
      <c r="X272" s="32"/>
      <c r="Y272" s="32"/>
    </row>
    <row r="273" spans="2:22" ht="15" thickBot="1" x14ac:dyDescent="0.4">
      <c r="B273" s="23">
        <v>26.35459798461391</v>
      </c>
      <c r="C273" s="24">
        <v>2.52</v>
      </c>
      <c r="D273" s="25">
        <v>38.58</v>
      </c>
      <c r="E273">
        <v>6.98</v>
      </c>
      <c r="F273">
        <v>5.6</v>
      </c>
    </row>
    <row r="274" spans="2:22" ht="15" thickBot="1" x14ac:dyDescent="0.4">
      <c r="B274" s="23">
        <v>26.415613161485624</v>
      </c>
      <c r="C274" s="24">
        <v>2.504</v>
      </c>
      <c r="D274" s="25">
        <v>38.4</v>
      </c>
      <c r="E274">
        <v>7.46</v>
      </c>
      <c r="F274">
        <v>6.04</v>
      </c>
    </row>
    <row r="275" spans="2:22" ht="15" thickBot="1" x14ac:dyDescent="0.4">
      <c r="B275" s="23">
        <v>26.413768372199044</v>
      </c>
      <c r="C275" s="24">
        <v>2.6</v>
      </c>
      <c r="D275" s="25">
        <v>38.19</v>
      </c>
      <c r="E275">
        <v>8.15</v>
      </c>
      <c r="F275">
        <v>7.02</v>
      </c>
    </row>
    <row r="276" spans="2:22" ht="15" thickBot="1" x14ac:dyDescent="0.4">
      <c r="B276" s="23">
        <v>26.494641619686462</v>
      </c>
      <c r="C276" s="24">
        <v>2.673</v>
      </c>
      <c r="D276" s="25">
        <v>37.97</v>
      </c>
      <c r="E276">
        <v>8.4499999999999993</v>
      </c>
      <c r="F276">
        <v>7.05</v>
      </c>
    </row>
    <row r="277" spans="2:22" ht="15" thickBot="1" x14ac:dyDescent="0.4">
      <c r="B277" s="23">
        <v>26.322077874962332</v>
      </c>
      <c r="C277" s="24">
        <v>2.3279999999999998</v>
      </c>
      <c r="D277" s="25">
        <v>37.770000000000003</v>
      </c>
      <c r="E277">
        <v>8.49</v>
      </c>
      <c r="F277">
        <v>8.49</v>
      </c>
    </row>
    <row r="278" spans="2:22" ht="15" thickBot="1" x14ac:dyDescent="0.4">
      <c r="B278" s="23">
        <v>26.386949771936749</v>
      </c>
      <c r="C278" s="24">
        <v>2.1760000000000002</v>
      </c>
      <c r="D278" s="25">
        <v>37.54</v>
      </c>
      <c r="E278">
        <v>9.59</v>
      </c>
      <c r="F278">
        <v>8.84</v>
      </c>
    </row>
    <row r="279" spans="2:22" ht="15" thickBot="1" x14ac:dyDescent="0.4">
      <c r="B279" s="23">
        <v>26.35553807058356</v>
      </c>
      <c r="C279" s="24">
        <v>2.5110000000000001</v>
      </c>
      <c r="D279" s="25">
        <v>37.29</v>
      </c>
      <c r="E279">
        <v>9.82</v>
      </c>
      <c r="F279">
        <v>9.83</v>
      </c>
    </row>
    <row r="280" spans="2:22" ht="15" thickBot="1" x14ac:dyDescent="0.4">
      <c r="B280" s="23">
        <v>26.514068416036146</v>
      </c>
      <c r="C280" s="24">
        <v>3.2120000000000002</v>
      </c>
      <c r="D280" s="25">
        <v>36.99</v>
      </c>
      <c r="E280">
        <v>10.19</v>
      </c>
      <c r="F280">
        <v>9.89</v>
      </c>
    </row>
    <row r="281" spans="2:22" ht="15" thickBot="1" x14ac:dyDescent="0.4">
      <c r="B281" s="23">
        <v>26.610152763845043</v>
      </c>
      <c r="C281" s="24">
        <v>5.0209999999999999</v>
      </c>
      <c r="D281" s="25">
        <v>36.65</v>
      </c>
      <c r="E281">
        <v>12.02</v>
      </c>
      <c r="F281">
        <v>10.84</v>
      </c>
    </row>
    <row r="282" spans="2:22" ht="15" thickBot="1" x14ac:dyDescent="0.4">
      <c r="B282" s="23">
        <v>26.696813466277504</v>
      </c>
      <c r="C282" s="24">
        <v>6.9009999999999998</v>
      </c>
      <c r="D282" s="25">
        <v>36.33</v>
      </c>
      <c r="E282">
        <v>11.54</v>
      </c>
      <c r="F282">
        <v>10.39</v>
      </c>
    </row>
    <row r="283" spans="2:22" ht="15" thickBot="1" x14ac:dyDescent="0.4">
      <c r="B283" s="23">
        <v>26.753633147301262</v>
      </c>
      <c r="C283" s="24">
        <v>8.2289999999999992</v>
      </c>
      <c r="D283" s="25">
        <v>35.97</v>
      </c>
      <c r="E283">
        <v>11.93</v>
      </c>
      <c r="F283">
        <v>10.69</v>
      </c>
    </row>
    <row r="284" spans="2:22" ht="15" thickBot="1" x14ac:dyDescent="0.4">
      <c r="B284" s="23">
        <v>26.76673318575585</v>
      </c>
      <c r="C284" s="24">
        <v>6.7069999999999999</v>
      </c>
      <c r="D284" s="25">
        <v>35.57</v>
      </c>
      <c r="E284">
        <v>12.68</v>
      </c>
      <c r="F284">
        <v>11.02</v>
      </c>
    </row>
    <row r="285" spans="2:22" ht="15" thickBot="1" x14ac:dyDescent="0.4">
      <c r="B285" s="23">
        <v>26.851924722819589</v>
      </c>
      <c r="C285" s="24">
        <v>2.62</v>
      </c>
      <c r="D285" s="25">
        <v>35.159999999999997</v>
      </c>
      <c r="E285">
        <v>13.36</v>
      </c>
      <c r="F285">
        <v>11.45</v>
      </c>
    </row>
    <row r="286" spans="2:22" ht="15" thickBot="1" x14ac:dyDescent="0.4">
      <c r="B286" s="23">
        <v>26.872577660034214</v>
      </c>
      <c r="C286" s="24">
        <v>6.3319999999999999</v>
      </c>
      <c r="D286" s="25">
        <v>34.729999999999997</v>
      </c>
      <c r="E286">
        <v>13.9</v>
      </c>
      <c r="F286">
        <v>13</v>
      </c>
    </row>
    <row r="287" spans="2:22" ht="15" thickBot="1" x14ac:dyDescent="0.4">
      <c r="B287" s="23">
        <v>26.908323623040616</v>
      </c>
      <c r="C287" s="24">
        <v>8.2129999999999992</v>
      </c>
      <c r="D287" s="25">
        <v>34.36</v>
      </c>
      <c r="E287">
        <v>13.43</v>
      </c>
      <c r="F287">
        <v>12.56</v>
      </c>
    </row>
    <row r="288" spans="2:22" ht="15" thickBot="1" x14ac:dyDescent="0.4">
      <c r="B288" s="23">
        <v>26.967312242720016</v>
      </c>
      <c r="C288" s="24">
        <v>8.7720000000000002</v>
      </c>
      <c r="D288" s="25">
        <v>33.97</v>
      </c>
      <c r="E288">
        <v>15.24</v>
      </c>
      <c r="F288">
        <v>14.26</v>
      </c>
      <c r="V288" t="s">
        <v>111</v>
      </c>
    </row>
    <row r="289" spans="2:30" ht="15" thickBot="1" x14ac:dyDescent="0.4">
      <c r="B289" s="23">
        <v>27.132946000233598</v>
      </c>
      <c r="C289" s="24">
        <v>9.1880000000000006</v>
      </c>
      <c r="D289" s="25">
        <v>33.56</v>
      </c>
      <c r="E289">
        <v>15.64</v>
      </c>
      <c r="F289">
        <v>14.95</v>
      </c>
    </row>
    <row r="290" spans="2:30" ht="15" thickBot="1" x14ac:dyDescent="0.4">
      <c r="B290" s="23">
        <v>27.287330812353115</v>
      </c>
      <c r="C290" s="24">
        <v>13.452</v>
      </c>
      <c r="D290" s="25">
        <v>33.15</v>
      </c>
      <c r="E290">
        <v>19.64</v>
      </c>
      <c r="F290">
        <v>17.86</v>
      </c>
      <c r="U290" s="30"/>
      <c r="V290" s="34" t="s">
        <v>112</v>
      </c>
      <c r="W290" s="34"/>
    </row>
    <row r="291" spans="2:30" ht="15" thickBot="1" x14ac:dyDescent="0.4">
      <c r="B291" s="23">
        <v>27.433035429339736</v>
      </c>
      <c r="C291" s="24">
        <v>19.661000000000001</v>
      </c>
      <c r="D291" s="25">
        <v>32.74</v>
      </c>
      <c r="E291">
        <v>22.4</v>
      </c>
      <c r="F291">
        <v>19.61</v>
      </c>
      <c r="V291" t="s">
        <v>113</v>
      </c>
      <c r="W291">
        <v>0.99714760640253397</v>
      </c>
    </row>
    <row r="292" spans="2:30" ht="15" thickBot="1" x14ac:dyDescent="0.4">
      <c r="B292" s="23">
        <v>27.569422151436065</v>
      </c>
      <c r="C292" s="24">
        <v>23.242000000000001</v>
      </c>
      <c r="D292" s="25">
        <v>32.380000000000003</v>
      </c>
      <c r="E292">
        <v>24.46</v>
      </c>
      <c r="F292">
        <v>21.27</v>
      </c>
      <c r="V292" t="s">
        <v>114</v>
      </c>
      <c r="W292">
        <v>0.99430334895430283</v>
      </c>
    </row>
    <row r="293" spans="2:30" ht="15" thickBot="1" x14ac:dyDescent="0.4">
      <c r="B293" s="23">
        <v>27.827192520537938</v>
      </c>
      <c r="C293" s="24">
        <v>28.922000000000001</v>
      </c>
      <c r="D293" s="25">
        <v>32.01</v>
      </c>
      <c r="E293">
        <v>24.89</v>
      </c>
      <c r="F293">
        <v>20.8</v>
      </c>
      <c r="V293" t="s">
        <v>115</v>
      </c>
      <c r="W293">
        <v>0.99361284579724873</v>
      </c>
    </row>
    <row r="294" spans="2:30" ht="15" thickBot="1" x14ac:dyDescent="0.4">
      <c r="B294" s="23">
        <v>27.812421900723301</v>
      </c>
      <c r="C294" s="24">
        <v>30.387</v>
      </c>
      <c r="D294" s="25">
        <v>31.64</v>
      </c>
      <c r="E294">
        <v>29.27</v>
      </c>
      <c r="F294">
        <v>24.1</v>
      </c>
      <c r="V294" t="s">
        <v>116</v>
      </c>
      <c r="W294">
        <v>7.0490563375872492E-2</v>
      </c>
    </row>
    <row r="295" spans="2:30" ht="15" thickBot="1" x14ac:dyDescent="0.4">
      <c r="B295" s="23">
        <v>27.92509765224813</v>
      </c>
      <c r="C295" s="24">
        <v>27.024999999999999</v>
      </c>
      <c r="D295" s="25">
        <v>31.24</v>
      </c>
      <c r="E295">
        <v>25.87</v>
      </c>
      <c r="F295">
        <v>20.399999999999999</v>
      </c>
      <c r="U295" s="31"/>
      <c r="V295" s="31" t="s">
        <v>117</v>
      </c>
      <c r="W295" s="31">
        <v>38</v>
      </c>
    </row>
    <row r="296" spans="2:30" ht="15" thickBot="1" x14ac:dyDescent="0.4">
      <c r="B296" s="23">
        <v>28.147201578281397</v>
      </c>
      <c r="C296" s="24">
        <v>30.908999999999999</v>
      </c>
      <c r="D296" s="25">
        <v>30.81</v>
      </c>
      <c r="E296">
        <v>26.85</v>
      </c>
      <c r="F296">
        <v>22.4</v>
      </c>
    </row>
    <row r="297" spans="2:30" ht="15" thickBot="1" x14ac:dyDescent="0.4">
      <c r="B297" s="23">
        <v>28.231531998946945</v>
      </c>
      <c r="C297" s="24">
        <v>33.450000000000003</v>
      </c>
      <c r="D297" s="25">
        <v>30.4</v>
      </c>
      <c r="E297">
        <v>31.08</v>
      </c>
      <c r="F297">
        <v>24.54</v>
      </c>
      <c r="V297" t="s">
        <v>118</v>
      </c>
    </row>
    <row r="298" spans="2:30" ht="15" thickBot="1" x14ac:dyDescent="0.4">
      <c r="B298" s="23">
        <v>28.234045461640768</v>
      </c>
      <c r="C298" s="24">
        <v>34.402000000000001</v>
      </c>
      <c r="D298" s="25">
        <v>29.93</v>
      </c>
      <c r="E298">
        <v>31.26</v>
      </c>
      <c r="F298">
        <v>24.53</v>
      </c>
      <c r="U298" s="32"/>
      <c r="V298" s="33"/>
      <c r="W298" s="33" t="s">
        <v>119</v>
      </c>
      <c r="X298" s="33" t="s">
        <v>120</v>
      </c>
      <c r="Y298" s="33" t="s">
        <v>121</v>
      </c>
      <c r="Z298" s="33" t="s">
        <v>122</v>
      </c>
      <c r="AA298" s="33" t="s">
        <v>123</v>
      </c>
    </row>
    <row r="299" spans="2:30" ht="15" thickBot="1" x14ac:dyDescent="0.4">
      <c r="B299" s="23">
        <v>28.249833748650111</v>
      </c>
      <c r="C299" s="24">
        <v>32.362000000000002</v>
      </c>
      <c r="D299" s="25">
        <v>29.43</v>
      </c>
      <c r="E299">
        <v>28.41</v>
      </c>
      <c r="F299">
        <v>25.43</v>
      </c>
      <c r="V299" t="s">
        <v>124</v>
      </c>
      <c r="W299">
        <v>4</v>
      </c>
      <c r="X299">
        <v>28.620366316742174</v>
      </c>
      <c r="Y299">
        <v>7.1550915791855436</v>
      </c>
      <c r="Z299">
        <v>1439.9693018003898</v>
      </c>
      <c r="AA299">
        <v>1.6159309261651284E-36</v>
      </c>
    </row>
    <row r="300" spans="2:30" ht="15" thickBot="1" x14ac:dyDescent="0.4">
      <c r="B300" s="23">
        <v>28.343543109882685</v>
      </c>
      <c r="C300" s="24">
        <v>30.814</v>
      </c>
      <c r="D300" s="25">
        <v>28.93</v>
      </c>
      <c r="E300">
        <v>25.95</v>
      </c>
      <c r="F300">
        <v>22.97</v>
      </c>
      <c r="V300" t="s">
        <v>125</v>
      </c>
      <c r="W300">
        <v>33</v>
      </c>
      <c r="X300">
        <v>0.16397434432658056</v>
      </c>
      <c r="Y300">
        <v>4.9689195250478962E-3</v>
      </c>
    </row>
    <row r="301" spans="2:30" ht="15" thickBot="1" x14ac:dyDescent="0.4">
      <c r="B301" s="23">
        <v>28.374665485629396</v>
      </c>
      <c r="C301" s="24">
        <v>33.079000000000001</v>
      </c>
      <c r="D301" s="25">
        <v>28.44</v>
      </c>
      <c r="E301">
        <v>22.11</v>
      </c>
      <c r="F301">
        <v>19.809999999999999</v>
      </c>
      <c r="U301" s="31"/>
      <c r="V301" s="31" t="s">
        <v>126</v>
      </c>
      <c r="W301" s="31">
        <v>37</v>
      </c>
      <c r="X301" s="31">
        <v>28.784340661068754</v>
      </c>
      <c r="Y301" s="31"/>
      <c r="Z301" s="31"/>
      <c r="AA301" s="31"/>
    </row>
    <row r="302" spans="2:30" ht="15" thickBot="1" x14ac:dyDescent="0.4">
      <c r="B302" s="23">
        <v>28.461665929644546</v>
      </c>
      <c r="C302" s="24">
        <v>31.858000000000001</v>
      </c>
      <c r="D302" s="25">
        <v>27.93</v>
      </c>
      <c r="E302">
        <v>20.92</v>
      </c>
      <c r="F302">
        <v>19.16</v>
      </c>
    </row>
    <row r="303" spans="2:30" ht="15" thickBot="1" x14ac:dyDescent="0.4">
      <c r="B303" s="23">
        <v>28.606136430331777</v>
      </c>
      <c r="C303" s="24">
        <v>31.620999999999999</v>
      </c>
      <c r="D303" s="25">
        <v>27.48</v>
      </c>
      <c r="E303">
        <v>21.95</v>
      </c>
      <c r="F303">
        <v>18.79</v>
      </c>
      <c r="U303" s="32"/>
      <c r="V303" s="33"/>
      <c r="W303" s="33" t="s">
        <v>127</v>
      </c>
      <c r="X303" s="33" t="s">
        <v>116</v>
      </c>
      <c r="Y303" s="33" t="s">
        <v>128</v>
      </c>
      <c r="Z303" s="33" t="s">
        <v>129</v>
      </c>
      <c r="AA303" s="33" t="s">
        <v>130</v>
      </c>
      <c r="AB303" s="33" t="s">
        <v>131</v>
      </c>
      <c r="AC303" s="33" t="s">
        <v>132</v>
      </c>
      <c r="AD303" s="33" t="s">
        <v>133</v>
      </c>
    </row>
    <row r="304" spans="2:30" ht="15" thickBot="1" x14ac:dyDescent="0.4">
      <c r="B304" s="23">
        <v>28.625357381760317</v>
      </c>
      <c r="C304" s="24">
        <v>33.765999999999998</v>
      </c>
      <c r="D304" s="25">
        <v>27.05</v>
      </c>
      <c r="E304">
        <v>23.69</v>
      </c>
      <c r="F304">
        <v>19.93</v>
      </c>
      <c r="V304" t="s">
        <v>134</v>
      </c>
      <c r="W304">
        <v>32.128112499153566</v>
      </c>
      <c r="X304">
        <v>0.48514034306122378</v>
      </c>
      <c r="Y304">
        <v>66.224367770418667</v>
      </c>
      <c r="Z304">
        <v>1.119701228354011E-36</v>
      </c>
      <c r="AA304">
        <v>31.141087049785686</v>
      </c>
      <c r="AB304">
        <v>33.115137948521443</v>
      </c>
      <c r="AC304">
        <v>31.141087049785686</v>
      </c>
      <c r="AD304">
        <v>33.115137948521443</v>
      </c>
    </row>
    <row r="305" spans="2:30" ht="15" thickBot="1" x14ac:dyDescent="0.4">
      <c r="B305" s="23">
        <v>28.671846165741808</v>
      </c>
      <c r="C305" s="24">
        <v>34.173000000000002</v>
      </c>
      <c r="D305" s="25">
        <v>26.62</v>
      </c>
      <c r="E305">
        <v>21.27</v>
      </c>
      <c r="F305">
        <v>18.690000000000001</v>
      </c>
      <c r="V305" t="s">
        <v>135</v>
      </c>
      <c r="W305">
        <v>1.9496484913300006E-2</v>
      </c>
      <c r="X305">
        <v>4.5691201449301749E-3</v>
      </c>
      <c r="Y305">
        <v>4.2670107799491781</v>
      </c>
      <c r="Z305">
        <v>1.5674221392112964E-4</v>
      </c>
      <c r="AA305">
        <v>1.0200540082555621E-2</v>
      </c>
      <c r="AB305">
        <v>2.879242974404439E-2</v>
      </c>
      <c r="AC305">
        <v>1.0200540082555621E-2</v>
      </c>
      <c r="AD305">
        <v>2.879242974404439E-2</v>
      </c>
    </row>
    <row r="306" spans="2:30" ht="15" thickBot="1" x14ac:dyDescent="0.4">
      <c r="B306" s="23">
        <v>28.612233277545126</v>
      </c>
      <c r="C306" s="24">
        <v>33.630000000000003</v>
      </c>
      <c r="D306" s="25">
        <v>26.16</v>
      </c>
      <c r="E306">
        <v>19.100000000000001</v>
      </c>
      <c r="F306">
        <v>18.71</v>
      </c>
      <c r="V306" t="s">
        <v>136</v>
      </c>
      <c r="W306">
        <v>-0.153520050428404</v>
      </c>
      <c r="X306">
        <v>1.2623020706099103E-2</v>
      </c>
      <c r="Y306">
        <v>-12.161910687053476</v>
      </c>
      <c r="Z306">
        <v>9.7199201897400028E-14</v>
      </c>
      <c r="AA306">
        <v>-0.17920177915498239</v>
      </c>
      <c r="AB306">
        <v>-0.1278383217018256</v>
      </c>
      <c r="AC306">
        <v>-0.17920177915498239</v>
      </c>
      <c r="AD306">
        <v>-0.1278383217018256</v>
      </c>
    </row>
    <row r="307" spans="2:30" ht="15" thickBot="1" x14ac:dyDescent="0.4">
      <c r="C307" s="23"/>
      <c r="D307" s="24"/>
      <c r="E307" s="25"/>
      <c r="V307" t="s">
        <v>137</v>
      </c>
      <c r="W307">
        <v>2.9662489658007964E-2</v>
      </c>
      <c r="X307">
        <v>1.3831672165137011E-2</v>
      </c>
      <c r="Y307">
        <v>2.1445338859876122</v>
      </c>
      <c r="Z307">
        <v>3.9447209718778374E-2</v>
      </c>
      <c r="AA307">
        <v>1.5217410487324869E-3</v>
      </c>
      <c r="AB307">
        <v>5.7803238267283438E-2</v>
      </c>
      <c r="AC307">
        <v>1.5217410487324869E-3</v>
      </c>
      <c r="AD307">
        <v>5.7803238267283438E-2</v>
      </c>
    </row>
    <row r="308" spans="2:30" ht="15" thickBot="1" x14ac:dyDescent="0.4">
      <c r="C308" s="23"/>
      <c r="D308" s="24"/>
      <c r="E308" s="25"/>
      <c r="U308" s="34"/>
      <c r="V308" s="31" t="s">
        <v>138</v>
      </c>
      <c r="W308" s="31">
        <v>-3.4211104381837977E-2</v>
      </c>
      <c r="X308" s="31">
        <v>1.6135763659446817E-2</v>
      </c>
      <c r="Y308" s="31">
        <v>-2.1202036112997229</v>
      </c>
      <c r="Z308" s="31">
        <v>4.1593994950021584E-2</v>
      </c>
      <c r="AA308" s="31">
        <v>-6.7039562383009663E-2</v>
      </c>
      <c r="AB308" s="31">
        <v>-1.3826463806662914E-3</v>
      </c>
      <c r="AC308" s="31">
        <v>-6.7039562383009663E-2</v>
      </c>
      <c r="AD308" s="31">
        <v>-1.3826463806662914E-3</v>
      </c>
    </row>
    <row r="309" spans="2:30" ht="15" thickBot="1" x14ac:dyDescent="0.4">
      <c r="C309" s="23"/>
      <c r="D309" s="24"/>
      <c r="E309" s="25"/>
    </row>
    <row r="310" spans="2:30" ht="15" thickBot="1" x14ac:dyDescent="0.4">
      <c r="C310" s="23"/>
      <c r="D310" s="24"/>
      <c r="E310" s="25"/>
    </row>
    <row r="311" spans="2:30" ht="15" thickBot="1" x14ac:dyDescent="0.4">
      <c r="C311" s="23"/>
      <c r="D311" s="24"/>
      <c r="E311" s="25"/>
    </row>
    <row r="312" spans="2:30" ht="15" thickBot="1" x14ac:dyDescent="0.4">
      <c r="C312" s="23"/>
      <c r="D312" s="24"/>
      <c r="E312" s="25"/>
      <c r="V312" t="s">
        <v>182</v>
      </c>
    </row>
    <row r="313" spans="2:30" ht="15" thickBot="1" x14ac:dyDescent="0.4">
      <c r="C313" s="23"/>
      <c r="D313" s="24"/>
      <c r="E313" s="25"/>
      <c r="U313" s="31"/>
      <c r="AA313" t="s">
        <v>241</v>
      </c>
    </row>
    <row r="314" spans="2:30" ht="15" thickBot="1" x14ac:dyDescent="0.4">
      <c r="C314" s="23"/>
      <c r="D314" s="24"/>
      <c r="E314" s="25"/>
      <c r="V314" s="33" t="s">
        <v>183</v>
      </c>
      <c r="W314" s="33" t="s">
        <v>184</v>
      </c>
      <c r="X314" s="33" t="s">
        <v>185</v>
      </c>
    </row>
    <row r="315" spans="2:30" ht="15" thickBot="1" x14ac:dyDescent="0.4">
      <c r="C315" s="23"/>
      <c r="D315" s="24"/>
      <c r="E315" s="25"/>
      <c r="V315">
        <v>1</v>
      </c>
      <c r="W315">
        <v>26.208796978273778</v>
      </c>
      <c r="X315">
        <v>-9.9833712647143358E-2</v>
      </c>
    </row>
    <row r="316" spans="2:30" ht="15" thickBot="1" x14ac:dyDescent="0.4">
      <c r="C316" s="23"/>
      <c r="D316" s="24"/>
      <c r="E316" s="25"/>
      <c r="U316" s="33"/>
      <c r="V316">
        <v>2</v>
      </c>
      <c r="W316">
        <v>26.213759093459196</v>
      </c>
      <c r="X316">
        <v>-0.13316087266780841</v>
      </c>
    </row>
    <row r="317" spans="2:30" ht="15" thickBot="1" x14ac:dyDescent="0.4">
      <c r="C317" s="23"/>
      <c r="D317" s="24"/>
      <c r="E317" s="25"/>
      <c r="V317">
        <v>3</v>
      </c>
      <c r="W317">
        <v>26.275125029820877</v>
      </c>
      <c r="X317">
        <v>-0.10291788166079385</v>
      </c>
    </row>
    <row r="318" spans="2:30" ht="15" thickBot="1" x14ac:dyDescent="0.4">
      <c r="C318" s="23"/>
      <c r="D318" s="24"/>
      <c r="E318" s="25"/>
      <c r="V318">
        <v>4</v>
      </c>
      <c r="W318">
        <v>26.264367004512213</v>
      </c>
      <c r="X318">
        <v>-2.3704521516091148E-2</v>
      </c>
    </row>
    <row r="319" spans="2:30" ht="15" thickBot="1" x14ac:dyDescent="0.4">
      <c r="C319" s="23"/>
      <c r="D319" s="24"/>
      <c r="E319" s="25"/>
      <c r="U319" s="31"/>
      <c r="V319">
        <v>5</v>
      </c>
      <c r="W319">
        <v>26.26990208888186</v>
      </c>
      <c r="X319">
        <v>8.4695895732050275E-2</v>
      </c>
      <c r="AA319" t="s">
        <v>148</v>
      </c>
    </row>
    <row r="320" spans="2:30" ht="15" thickBot="1" x14ac:dyDescent="0.4">
      <c r="C320" s="23"/>
      <c r="D320" s="24"/>
      <c r="E320" s="25"/>
      <c r="V320">
        <v>6</v>
      </c>
      <c r="W320">
        <v>26.296408863308191</v>
      </c>
      <c r="X320">
        <v>0.11920429817743283</v>
      </c>
      <c r="AA320" t="s">
        <v>149</v>
      </c>
    </row>
    <row r="321" spans="3:27" ht="15" thickBot="1" x14ac:dyDescent="0.4">
      <c r="C321" s="23"/>
      <c r="D321" s="24"/>
      <c r="E321" s="25"/>
      <c r="U321" s="33"/>
      <c r="V321">
        <v>7</v>
      </c>
      <c r="W321">
        <v>26.317459972019659</v>
      </c>
      <c r="X321">
        <v>9.6308400179385245E-2</v>
      </c>
      <c r="AA321" t="s">
        <v>259</v>
      </c>
    </row>
    <row r="322" spans="3:27" ht="15" thickBot="1" x14ac:dyDescent="0.4">
      <c r="C322" s="23"/>
      <c r="D322" s="24"/>
      <c r="E322" s="25"/>
      <c r="V322">
        <v>8</v>
      </c>
      <c r="W322">
        <v>26.360530040278523</v>
      </c>
      <c r="X322">
        <v>0.13411157940793927</v>
      </c>
      <c r="AA322" t="s">
        <v>260</v>
      </c>
    </row>
    <row r="323" spans="3:27" ht="15" thickBot="1" x14ac:dyDescent="0.4">
      <c r="C323" s="23"/>
      <c r="D323" s="24"/>
      <c r="E323" s="25"/>
      <c r="V323">
        <v>9</v>
      </c>
      <c r="W323">
        <v>26.336430272345591</v>
      </c>
      <c r="X323">
        <v>-1.435239738325933E-2</v>
      </c>
    </row>
    <row r="324" spans="3:27" ht="15" thickBot="1" x14ac:dyDescent="0.4">
      <c r="C324" s="23"/>
      <c r="D324" s="24"/>
      <c r="E324" s="25"/>
      <c r="V324">
        <v>10</v>
      </c>
      <c r="W324">
        <v>26.389431270327471</v>
      </c>
      <c r="X324">
        <v>-2.4814983907219812E-3</v>
      </c>
    </row>
    <row r="325" spans="3:27" x14ac:dyDescent="0.35">
      <c r="V325">
        <v>11</v>
      </c>
      <c r="W325">
        <v>26.407295984663843</v>
      </c>
      <c r="X325">
        <v>-5.175791408028374E-2</v>
      </c>
    </row>
    <row r="326" spans="3:27" x14ac:dyDescent="0.35">
      <c r="V326">
        <v>12</v>
      </c>
      <c r="W326">
        <v>26.47594149062715</v>
      </c>
      <c r="X326">
        <v>3.812692540899576E-2</v>
      </c>
    </row>
    <row r="327" spans="3:27" ht="15" thickBot="1" x14ac:dyDescent="0.4">
      <c r="U327" s="31"/>
      <c r="V327">
        <v>13</v>
      </c>
      <c r="W327">
        <v>26.585189255892374</v>
      </c>
      <c r="X327">
        <v>2.4963507952669772E-2</v>
      </c>
    </row>
    <row r="328" spans="3:27" x14ac:dyDescent="0.35">
      <c r="V328">
        <v>14</v>
      </c>
      <c r="W328">
        <v>26.672126065602448</v>
      </c>
      <c r="X328">
        <v>2.4687400675055926E-2</v>
      </c>
    </row>
    <row r="329" spans="3:27" x14ac:dyDescent="0.35">
      <c r="V329">
        <v>15</v>
      </c>
      <c r="W329">
        <v>26.754589655373607</v>
      </c>
      <c r="X329">
        <v>-9.5650807234548552E-4</v>
      </c>
    </row>
    <row r="330" spans="3:27" x14ac:dyDescent="0.35">
      <c r="V330">
        <v>16</v>
      </c>
      <c r="W330">
        <v>26.797281228304424</v>
      </c>
      <c r="X330">
        <v>-3.0548042548574017E-2</v>
      </c>
    </row>
    <row r="331" spans="3:27" x14ac:dyDescent="0.35">
      <c r="V331">
        <v>17</v>
      </c>
      <c r="W331">
        <v>26.786002033222669</v>
      </c>
      <c r="X331">
        <v>6.5922689596920492E-2</v>
      </c>
    </row>
    <row r="332" spans="3:27" x14ac:dyDescent="0.35">
      <c r="V332">
        <v>18</v>
      </c>
      <c r="W332">
        <v>26.887377139528528</v>
      </c>
      <c r="X332">
        <v>-1.4799479494314483E-2</v>
      </c>
    </row>
    <row r="333" spans="3:27" x14ac:dyDescent="0.35">
      <c r="V333">
        <v>19</v>
      </c>
      <c r="W333">
        <v>26.981963962097698</v>
      </c>
      <c r="X333">
        <v>-7.3640339057082116E-2</v>
      </c>
    </row>
    <row r="334" spans="3:27" x14ac:dyDescent="0.35">
      <c r="V334">
        <v>20</v>
      </c>
      <c r="W334">
        <v>27.048265545663185</v>
      </c>
      <c r="X334">
        <v>-8.0953302943168381E-2</v>
      </c>
    </row>
    <row r="335" spans="3:27" x14ac:dyDescent="0.35">
      <c r="V335">
        <v>21</v>
      </c>
      <c r="W335">
        <v>27.107578637902492</v>
      </c>
      <c r="X335">
        <v>2.5367362331106591E-2</v>
      </c>
    </row>
    <row r="336" spans="3:27" x14ac:dyDescent="0.35">
      <c r="V336">
        <v>22</v>
      </c>
      <c r="W336">
        <v>27.272750515129335</v>
      </c>
      <c r="X336">
        <v>1.4580297223780292E-2</v>
      </c>
    </row>
    <row r="337" spans="22:24" x14ac:dyDescent="0.35">
      <c r="V337">
        <v>23</v>
      </c>
      <c r="W337">
        <v>27.478746449419543</v>
      </c>
      <c r="X337">
        <v>-4.5711020079806985E-2</v>
      </c>
    </row>
    <row r="338" spans="22:24" x14ac:dyDescent="0.35">
      <c r="V338">
        <v>24</v>
      </c>
      <c r="W338">
        <v>27.608144875469947</v>
      </c>
      <c r="X338">
        <v>-3.8722724033881661E-2</v>
      </c>
    </row>
    <row r="339" spans="22:24" x14ac:dyDescent="0.35">
      <c r="V339">
        <v>25</v>
      </c>
      <c r="W339">
        <v>27.804521418048406</v>
      </c>
      <c r="X339">
        <v>2.2671102489532302E-2</v>
      </c>
    </row>
    <row r="340" spans="22:24" x14ac:dyDescent="0.35">
      <c r="V340">
        <v>26</v>
      </c>
      <c r="W340">
        <v>27.906911247346908</v>
      </c>
      <c r="X340">
        <v>-9.4489346623607418E-2</v>
      </c>
    </row>
    <row r="341" spans="22:24" x14ac:dyDescent="0.35">
      <c r="V341">
        <v>27</v>
      </c>
      <c r="W341">
        <v>27.928500706615331</v>
      </c>
      <c r="X341">
        <v>-3.4030543672010083E-3</v>
      </c>
    </row>
    <row r="342" spans="22:24" x14ac:dyDescent="0.35">
      <c r="V342">
        <v>28</v>
      </c>
      <c r="W342">
        <v>28.030885706803975</v>
      </c>
      <c r="X342">
        <v>0.11631587147742195</v>
      </c>
    </row>
    <row r="343" spans="22:24" x14ac:dyDescent="0.35">
      <c r="V343">
        <v>29</v>
      </c>
      <c r="W343">
        <v>28.195630063520554</v>
      </c>
      <c r="X343">
        <v>3.5901935426391418E-2</v>
      </c>
    </row>
    <row r="344" spans="22:24" x14ac:dyDescent="0.35">
      <c r="V344">
        <v>30</v>
      </c>
      <c r="W344">
        <v>28.292026500041622</v>
      </c>
      <c r="X344">
        <v>-5.798103840085389E-2</v>
      </c>
    </row>
    <row r="345" spans="22:24" x14ac:dyDescent="0.35">
      <c r="V345">
        <v>31</v>
      </c>
      <c r="W345">
        <v>28.213685606563715</v>
      </c>
      <c r="X345">
        <v>3.6148142086396717E-2</v>
      </c>
    </row>
    <row r="346" spans="22:24" x14ac:dyDescent="0.35">
      <c r="V346">
        <v>32</v>
      </c>
      <c r="W346">
        <v>28.271454665352749</v>
      </c>
      <c r="X346">
        <v>7.2088444529935458E-2</v>
      </c>
    </row>
    <row r="347" spans="22:24" x14ac:dyDescent="0.35">
      <c r="V347">
        <v>33</v>
      </c>
      <c r="W347">
        <v>28.385042157951155</v>
      </c>
      <c r="X347">
        <v>-1.0376672321758207E-2</v>
      </c>
    </row>
    <row r="348" spans="22:24" x14ac:dyDescent="0.35">
      <c r="V348">
        <v>34</v>
      </c>
      <c r="W348">
        <v>28.42647103074567</v>
      </c>
      <c r="X348">
        <v>3.5194898898875948E-2</v>
      </c>
    </row>
    <row r="349" spans="22:24" x14ac:dyDescent="0.35">
      <c r="V349">
        <v>35</v>
      </c>
      <c r="W349">
        <v>28.534144859483025</v>
      </c>
      <c r="X349">
        <v>7.1991570848751962E-2</v>
      </c>
    </row>
    <row r="350" spans="22:24" x14ac:dyDescent="0.35">
      <c r="V350">
        <v>36</v>
      </c>
      <c r="W350">
        <v>28.654590514315906</v>
      </c>
      <c r="X350">
        <v>-2.9233132555589236E-2</v>
      </c>
    </row>
    <row r="351" spans="22:24" x14ac:dyDescent="0.35">
      <c r="V351">
        <v>37</v>
      </c>
      <c r="W351">
        <v>28.69917774982093</v>
      </c>
      <c r="X351">
        <v>-2.7331584079121285E-2</v>
      </c>
    </row>
    <row r="352" spans="22:24" ht="15" thickBot="1" x14ac:dyDescent="0.4">
      <c r="V352" s="31">
        <v>38</v>
      </c>
      <c r="W352" s="31">
        <v>28.694158557064561</v>
      </c>
      <c r="X352" s="31">
        <v>-8.1925279519435179E-2</v>
      </c>
    </row>
  </sheetData>
  <mergeCells count="6">
    <mergeCell ref="B23:J24"/>
    <mergeCell ref="A1:G1"/>
    <mergeCell ref="A4:G4"/>
    <mergeCell ref="A5:G5"/>
    <mergeCell ref="A6:G6"/>
    <mergeCell ref="A7:G7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3"/>
  <sheetViews>
    <sheetView topLeftCell="A192" workbookViewId="0">
      <selection activeCell="H219" sqref="H219"/>
    </sheetView>
  </sheetViews>
  <sheetFormatPr defaultRowHeight="14.5" x14ac:dyDescent="0.35"/>
  <sheetData>
    <row r="1" spans="1:7" ht="26" x14ac:dyDescent="0.6">
      <c r="A1" s="17" t="s">
        <v>7</v>
      </c>
      <c r="B1" s="18"/>
      <c r="C1" s="18"/>
      <c r="D1" s="18"/>
      <c r="E1" s="18"/>
      <c r="F1" s="18"/>
      <c r="G1" s="18"/>
    </row>
    <row r="4" spans="1:7" x14ac:dyDescent="0.35">
      <c r="A4" t="s">
        <v>8</v>
      </c>
    </row>
    <row r="6" spans="1:7" x14ac:dyDescent="0.35">
      <c r="A6" t="s">
        <v>9</v>
      </c>
    </row>
    <row r="7" spans="1:7" x14ac:dyDescent="0.35">
      <c r="A7" t="s">
        <v>10</v>
      </c>
    </row>
    <row r="8" spans="1:7" x14ac:dyDescent="0.35">
      <c r="A8" t="s">
        <v>11</v>
      </c>
    </row>
    <row r="11" spans="1:7" x14ac:dyDescent="0.35">
      <c r="A11" t="s">
        <v>12</v>
      </c>
    </row>
    <row r="14" spans="1:7" x14ac:dyDescent="0.35">
      <c r="C14" t="s">
        <v>160</v>
      </c>
    </row>
    <row r="75" spans="2:2" x14ac:dyDescent="0.35">
      <c r="B75" t="s">
        <v>161</v>
      </c>
    </row>
    <row r="210" spans="2:4" x14ac:dyDescent="0.35">
      <c r="B210" t="s">
        <v>162</v>
      </c>
    </row>
    <row r="213" spans="2:4" ht="18" x14ac:dyDescent="0.4">
      <c r="D213" s="101" t="s">
        <v>271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5"/>
  <sheetViews>
    <sheetView topLeftCell="A10" workbookViewId="0">
      <selection activeCell="B33" sqref="B33:I35"/>
    </sheetView>
  </sheetViews>
  <sheetFormatPr defaultRowHeight="14.5" x14ac:dyDescent="0.35"/>
  <sheetData>
    <row r="1" spans="1:11" ht="15" customHeight="1" x14ac:dyDescent="0.35">
      <c r="A1" s="42" t="s">
        <v>13</v>
      </c>
      <c r="B1" s="43"/>
      <c r="C1" s="43"/>
      <c r="D1" s="43"/>
      <c r="E1" s="43"/>
      <c r="F1" s="43"/>
      <c r="G1" s="43"/>
      <c r="H1" s="43"/>
      <c r="I1" s="43"/>
      <c r="J1" s="43"/>
      <c r="K1" s="44"/>
    </row>
    <row r="2" spans="1:11" x14ac:dyDescent="0.35">
      <c r="A2" s="45"/>
      <c r="B2" s="46"/>
      <c r="C2" s="46"/>
      <c r="D2" s="46"/>
      <c r="E2" s="46"/>
      <c r="F2" s="46"/>
      <c r="G2" s="46"/>
      <c r="H2" s="46"/>
      <c r="I2" s="46"/>
      <c r="J2" s="46"/>
      <c r="K2" s="47"/>
    </row>
    <row r="3" spans="1:11" x14ac:dyDescent="0.35">
      <c r="A3" s="45"/>
      <c r="B3" s="46"/>
      <c r="C3" s="46"/>
      <c r="D3" s="46"/>
      <c r="E3" s="46"/>
      <c r="F3" s="46"/>
      <c r="G3" s="46"/>
      <c r="H3" s="46"/>
      <c r="I3" s="46"/>
      <c r="J3" s="46"/>
      <c r="K3" s="47"/>
    </row>
    <row r="4" spans="1:11" x14ac:dyDescent="0.35">
      <c r="A4" s="45"/>
      <c r="B4" s="46"/>
      <c r="C4" s="46"/>
      <c r="D4" s="46"/>
      <c r="E4" s="46"/>
      <c r="F4" s="46"/>
      <c r="G4" s="46"/>
      <c r="H4" s="46"/>
      <c r="I4" s="46"/>
      <c r="J4" s="46"/>
      <c r="K4" s="47"/>
    </row>
    <row r="5" spans="1:11" ht="15" thickBot="1" x14ac:dyDescent="0.4">
      <c r="A5" s="58"/>
      <c r="B5" s="59"/>
      <c r="C5" s="59"/>
      <c r="D5" s="59"/>
      <c r="E5" s="59"/>
      <c r="F5" s="59"/>
      <c r="G5" s="59"/>
      <c r="H5" s="59"/>
      <c r="I5" s="59"/>
      <c r="J5" s="59"/>
      <c r="K5" s="60"/>
    </row>
    <row r="7" spans="1:11" x14ac:dyDescent="0.35">
      <c r="A7" t="s">
        <v>14</v>
      </c>
    </row>
    <row r="10" spans="1:11" x14ac:dyDescent="0.35">
      <c r="G10" t="s">
        <v>15</v>
      </c>
    </row>
    <row r="11" spans="1:11" x14ac:dyDescent="0.35">
      <c r="B11" s="3"/>
      <c r="C11" s="1"/>
      <c r="D11" s="3"/>
      <c r="E11" s="4"/>
    </row>
    <row r="12" spans="1:11" ht="16.5" x14ac:dyDescent="0.45">
      <c r="A12" t="s">
        <v>16</v>
      </c>
    </row>
    <row r="13" spans="1:11" ht="16.5" x14ac:dyDescent="0.35">
      <c r="A13" t="s">
        <v>17</v>
      </c>
    </row>
    <row r="18" spans="1:24" x14ac:dyDescent="0.35">
      <c r="H18" t="s">
        <v>170</v>
      </c>
    </row>
    <row r="24" spans="1:24" x14ac:dyDescent="0.35">
      <c r="A24" t="s">
        <v>164</v>
      </c>
      <c r="B24" t="s">
        <v>165</v>
      </c>
    </row>
    <row r="25" spans="1:24" x14ac:dyDescent="0.35">
      <c r="A25" t="s">
        <v>166</v>
      </c>
      <c r="B25" t="s">
        <v>167</v>
      </c>
    </row>
    <row r="26" spans="1:24" x14ac:dyDescent="0.35">
      <c r="A26" t="s">
        <v>168</v>
      </c>
      <c r="B26" t="s">
        <v>169</v>
      </c>
    </row>
    <row r="27" spans="1:24" x14ac:dyDescent="0.35">
      <c r="A27" t="s">
        <v>171</v>
      </c>
    </row>
    <row r="28" spans="1:24" x14ac:dyDescent="0.35">
      <c r="A28" t="s">
        <v>163</v>
      </c>
      <c r="B28">
        <f>1/(1-0.964135)</f>
        <v>27.882336539802008</v>
      </c>
    </row>
    <row r="29" spans="1:24" x14ac:dyDescent="0.35">
      <c r="B29" s="61" t="s">
        <v>233</v>
      </c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</row>
    <row r="30" spans="1:24" x14ac:dyDescent="0.35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</row>
    <row r="33" spans="2:9" x14ac:dyDescent="0.35">
      <c r="B33" s="62" t="s">
        <v>234</v>
      </c>
      <c r="C33" s="62"/>
      <c r="D33" s="62"/>
      <c r="E33" s="62"/>
      <c r="F33" s="62"/>
      <c r="G33" s="62"/>
      <c r="H33" s="62"/>
      <c r="I33" s="62"/>
    </row>
    <row r="34" spans="2:9" x14ac:dyDescent="0.35">
      <c r="B34" s="62"/>
      <c r="C34" s="62"/>
      <c r="D34" s="62"/>
      <c r="E34" s="62"/>
      <c r="F34" s="62"/>
      <c r="G34" s="62"/>
      <c r="H34" s="62"/>
      <c r="I34" s="62"/>
    </row>
    <row r="35" spans="2:9" x14ac:dyDescent="0.35">
      <c r="B35" s="62"/>
      <c r="C35" s="62"/>
      <c r="D35" s="62"/>
      <c r="E35" s="62"/>
      <c r="F35" s="62"/>
      <c r="G35" s="62"/>
      <c r="H35" s="62"/>
      <c r="I35" s="62"/>
    </row>
  </sheetData>
  <mergeCells count="3">
    <mergeCell ref="A1:K5"/>
    <mergeCell ref="B29:X30"/>
    <mergeCell ref="B33:I35"/>
  </mergeCells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9"/>
  <sheetViews>
    <sheetView topLeftCell="A7" workbookViewId="0">
      <selection activeCell="B29" sqref="B29"/>
    </sheetView>
  </sheetViews>
  <sheetFormatPr defaultRowHeight="14.5" x14ac:dyDescent="0.35"/>
  <cols>
    <col min="7" max="7" width="95.81640625" customWidth="1"/>
  </cols>
  <sheetData>
    <row r="1" spans="1:7" ht="26.25" customHeight="1" x14ac:dyDescent="0.35">
      <c r="A1" s="63" t="s">
        <v>18</v>
      </c>
      <c r="B1" s="64"/>
      <c r="C1" s="64"/>
      <c r="D1" s="64"/>
      <c r="E1" s="64"/>
      <c r="F1" s="64"/>
      <c r="G1" s="64"/>
    </row>
    <row r="2" spans="1:7" ht="15" thickBot="1" x14ac:dyDescent="0.4"/>
    <row r="3" spans="1:7" ht="21" x14ac:dyDescent="0.35">
      <c r="A3" s="65" t="s">
        <v>19</v>
      </c>
      <c r="B3" s="66"/>
      <c r="C3" s="66"/>
      <c r="D3" s="66"/>
      <c r="E3" s="66"/>
      <c r="F3" s="66"/>
      <c r="G3" s="67"/>
    </row>
    <row r="4" spans="1:7" ht="21" x14ac:dyDescent="0.35">
      <c r="A4" s="68" t="s">
        <v>20</v>
      </c>
      <c r="B4" s="69"/>
      <c r="C4" s="69"/>
      <c r="D4" s="69"/>
      <c r="E4" s="69"/>
      <c r="F4" s="69"/>
      <c r="G4" s="70"/>
    </row>
    <row r="5" spans="1:7" ht="21" x14ac:dyDescent="0.35">
      <c r="A5" s="68" t="s">
        <v>21</v>
      </c>
      <c r="B5" s="69"/>
      <c r="C5" s="69"/>
      <c r="D5" s="69"/>
      <c r="E5" s="69"/>
      <c r="F5" s="69"/>
      <c r="G5" s="70"/>
    </row>
    <row r="6" spans="1:7" ht="21.5" thickBot="1" x14ac:dyDescent="0.4">
      <c r="A6" s="71" t="s">
        <v>22</v>
      </c>
      <c r="B6" s="72"/>
      <c r="C6" s="72"/>
      <c r="D6" s="72"/>
      <c r="E6" s="72"/>
      <c r="F6" s="72"/>
      <c r="G6" s="73"/>
    </row>
    <row r="21" spans="1:7" x14ac:dyDescent="0.35">
      <c r="A21" t="s">
        <v>172</v>
      </c>
    </row>
    <row r="22" spans="1:7" x14ac:dyDescent="0.35">
      <c r="A22" t="s">
        <v>173</v>
      </c>
      <c r="G22" t="s">
        <v>175</v>
      </c>
    </row>
    <row r="23" spans="1:7" x14ac:dyDescent="0.35">
      <c r="A23" t="s">
        <v>174</v>
      </c>
    </row>
    <row r="29" spans="1:7" x14ac:dyDescent="0.35">
      <c r="B29" t="s">
        <v>175</v>
      </c>
    </row>
  </sheetData>
  <mergeCells count="5">
    <mergeCell ref="A1:G1"/>
    <mergeCell ref="A3:G3"/>
    <mergeCell ref="A4:G4"/>
    <mergeCell ref="A5:G5"/>
    <mergeCell ref="A6:G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44"/>
  <sheetViews>
    <sheetView topLeftCell="A31" zoomScale="91" zoomScaleNormal="91" workbookViewId="0">
      <selection activeCell="A36" sqref="A36"/>
    </sheetView>
  </sheetViews>
  <sheetFormatPr defaultRowHeight="14.5" x14ac:dyDescent="0.35"/>
  <cols>
    <col min="1" max="1" width="156.26953125" bestFit="1" customWidth="1"/>
    <col min="2" max="2" width="17.54296875" customWidth="1"/>
    <col min="3" max="3" width="12.54296875" customWidth="1"/>
    <col min="7" max="7" width="79.1796875" customWidth="1"/>
    <col min="11" max="11" width="11" customWidth="1"/>
    <col min="14" max="14" width="13.1796875" customWidth="1"/>
    <col min="15" max="15" width="11.453125" customWidth="1"/>
    <col min="16" max="16" width="13.1796875" customWidth="1"/>
    <col min="26" max="26" width="12.54296875" customWidth="1"/>
  </cols>
  <sheetData>
    <row r="1" spans="1:22" ht="26" x14ac:dyDescent="0.35">
      <c r="A1" s="74" t="s">
        <v>23</v>
      </c>
      <c r="B1" s="75"/>
      <c r="C1" s="75"/>
      <c r="D1" s="75"/>
      <c r="E1" s="75"/>
      <c r="F1" s="75"/>
      <c r="G1" s="75"/>
      <c r="Q1" s="2"/>
      <c r="R1" s="2"/>
      <c r="S1" s="2"/>
      <c r="T1" s="2"/>
      <c r="U1" s="2"/>
      <c r="V1" s="2"/>
    </row>
    <row r="2" spans="1:22" ht="15" thickBot="1" x14ac:dyDescent="0.4">
      <c r="Q2" s="2"/>
      <c r="R2" s="2"/>
      <c r="S2" s="2"/>
      <c r="T2" s="2"/>
      <c r="U2" s="2"/>
      <c r="V2" s="2"/>
    </row>
    <row r="3" spans="1:22" ht="21" x14ac:dyDescent="0.35">
      <c r="A3" s="76" t="s">
        <v>24</v>
      </c>
      <c r="B3" s="77"/>
      <c r="C3" s="77"/>
      <c r="D3" s="77"/>
      <c r="E3" s="77"/>
      <c r="F3" s="77"/>
      <c r="G3" s="78"/>
      <c r="Q3" s="2"/>
      <c r="R3" s="2"/>
      <c r="S3" s="2"/>
      <c r="T3" s="2"/>
      <c r="U3" s="2"/>
      <c r="V3" s="2"/>
    </row>
    <row r="4" spans="1:22" ht="21" x14ac:dyDescent="0.35">
      <c r="A4" s="79" t="s">
        <v>25</v>
      </c>
      <c r="B4" s="80"/>
      <c r="C4" s="80"/>
      <c r="D4" s="80"/>
      <c r="E4" s="80"/>
      <c r="F4" s="80"/>
      <c r="G4" s="81"/>
    </row>
    <row r="5" spans="1:22" ht="21" x14ac:dyDescent="0.35">
      <c r="A5" s="79" t="s">
        <v>26</v>
      </c>
      <c r="B5" s="80"/>
      <c r="C5" s="80"/>
      <c r="D5" s="80"/>
      <c r="E5" s="80"/>
      <c r="F5" s="80"/>
      <c r="G5" s="81"/>
    </row>
    <row r="6" spans="1:22" ht="21.5" thickBot="1" x14ac:dyDescent="0.4">
      <c r="A6" s="82" t="s">
        <v>27</v>
      </c>
      <c r="B6" s="83"/>
      <c r="C6" s="83"/>
      <c r="D6" s="83"/>
      <c r="E6" s="83"/>
      <c r="F6" s="83"/>
      <c r="G6" s="84"/>
    </row>
    <row r="10" spans="1:22" x14ac:dyDescent="0.35">
      <c r="A10" t="s">
        <v>176</v>
      </c>
      <c r="B10">
        <f>SQRT(0.994303)</f>
        <v>0.99714743142626605</v>
      </c>
    </row>
    <row r="11" spans="1:22" x14ac:dyDescent="0.35">
      <c r="A11" t="s">
        <v>179</v>
      </c>
    </row>
    <row r="13" spans="1:22" x14ac:dyDescent="0.35">
      <c r="A13" t="s">
        <v>177</v>
      </c>
      <c r="B13">
        <f>SQRT(0.004969)</f>
        <v>7.0491134194308441E-2</v>
      </c>
    </row>
    <row r="14" spans="1:22" x14ac:dyDescent="0.35">
      <c r="A14" t="s">
        <v>178</v>
      </c>
    </row>
    <row r="16" spans="1:22" x14ac:dyDescent="0.35">
      <c r="A16" t="s">
        <v>180</v>
      </c>
      <c r="B16">
        <f>0.994303</f>
        <v>0.99430300000000005</v>
      </c>
    </row>
    <row r="17" spans="1:1" x14ac:dyDescent="0.35">
      <c r="A17" t="s">
        <v>181</v>
      </c>
    </row>
    <row r="36" spans="1:2" ht="15" thickBot="1" x14ac:dyDescent="0.4"/>
    <row r="37" spans="1:2" ht="54.5" customHeight="1" thickBot="1" x14ac:dyDescent="0.45">
      <c r="A37" s="102" t="s">
        <v>272</v>
      </c>
      <c r="B37" s="103">
        <v>0.99714743100000003</v>
      </c>
    </row>
    <row r="38" spans="1:2" ht="126" customHeight="1" thickBot="1" x14ac:dyDescent="0.45">
      <c r="A38" s="105" t="s">
        <v>273</v>
      </c>
      <c r="B38" s="106"/>
    </row>
    <row r="39" spans="1:2" ht="14.5" customHeight="1" thickBot="1" x14ac:dyDescent="0.5">
      <c r="A39" s="104"/>
      <c r="B39" s="104"/>
    </row>
    <row r="40" spans="1:2" ht="14.5" customHeight="1" thickBot="1" x14ac:dyDescent="0.45">
      <c r="A40" s="102" t="s">
        <v>274</v>
      </c>
      <c r="B40" s="103">
        <v>7.0491133999999997E-2</v>
      </c>
    </row>
    <row r="41" spans="1:2" ht="54" customHeight="1" thickBot="1" x14ac:dyDescent="0.45">
      <c r="A41" s="105" t="s">
        <v>275</v>
      </c>
      <c r="B41" s="106"/>
    </row>
    <row r="42" spans="1:2" ht="14.5" customHeight="1" thickBot="1" x14ac:dyDescent="0.5">
      <c r="A42" s="104"/>
      <c r="B42" s="104"/>
    </row>
    <row r="43" spans="1:2" ht="14.5" customHeight="1" thickBot="1" x14ac:dyDescent="0.45">
      <c r="A43" s="102" t="s">
        <v>26</v>
      </c>
      <c r="B43" s="103">
        <v>0.99430300000000005</v>
      </c>
    </row>
    <row r="44" spans="1:2" ht="42" customHeight="1" thickBot="1" x14ac:dyDescent="0.45">
      <c r="A44" s="105" t="s">
        <v>276</v>
      </c>
      <c r="B44" s="106"/>
    </row>
  </sheetData>
  <mergeCells count="5">
    <mergeCell ref="A1:G1"/>
    <mergeCell ref="A3:G3"/>
    <mergeCell ref="A4:G4"/>
    <mergeCell ref="A5:G5"/>
    <mergeCell ref="A6:G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3"/>
  <sheetViews>
    <sheetView topLeftCell="A10" workbookViewId="0">
      <selection activeCell="H32" sqref="H32"/>
    </sheetView>
  </sheetViews>
  <sheetFormatPr defaultRowHeight="14.5" x14ac:dyDescent="0.35"/>
  <cols>
    <col min="6" max="6" width="34.81640625" customWidth="1"/>
  </cols>
  <sheetData>
    <row r="1" spans="1:18" ht="26.5" thickBot="1" x14ac:dyDescent="0.4">
      <c r="A1" s="85" t="s">
        <v>28</v>
      </c>
      <c r="B1" s="86"/>
      <c r="C1" s="86"/>
      <c r="D1" s="86"/>
      <c r="E1" s="86"/>
      <c r="F1" s="87"/>
    </row>
    <row r="2" spans="1:18" ht="15" thickBot="1" x14ac:dyDescent="0.4"/>
    <row r="3" spans="1:18" ht="21" customHeight="1" thickBot="1" x14ac:dyDescent="0.4">
      <c r="A3" s="88" t="s">
        <v>19</v>
      </c>
      <c r="B3" s="89"/>
      <c r="C3" s="89"/>
      <c r="D3" s="89"/>
      <c r="E3" s="89"/>
      <c r="F3" s="90"/>
    </row>
    <row r="4" spans="1:18" ht="21" customHeight="1" thickBot="1" x14ac:dyDescent="0.4">
      <c r="A4" s="88" t="s">
        <v>29</v>
      </c>
      <c r="B4" s="89"/>
      <c r="C4" s="89"/>
      <c r="D4" s="89"/>
      <c r="E4" s="89"/>
      <c r="F4" s="90"/>
    </row>
    <row r="5" spans="1:18" ht="21" customHeight="1" thickBot="1" x14ac:dyDescent="0.4">
      <c r="A5" s="88" t="s">
        <v>30</v>
      </c>
      <c r="B5" s="89"/>
      <c r="C5" s="89"/>
      <c r="D5" s="89"/>
      <c r="E5" s="89"/>
      <c r="F5" s="90"/>
      <c r="P5" t="s">
        <v>186</v>
      </c>
    </row>
    <row r="6" spans="1:18" ht="21.75" customHeight="1" thickBot="1" x14ac:dyDescent="0.4">
      <c r="A6" s="88" t="s">
        <v>31</v>
      </c>
      <c r="B6" s="89"/>
      <c r="C6" s="89"/>
      <c r="D6" s="89"/>
      <c r="E6" s="89"/>
      <c r="F6" s="90"/>
      <c r="P6">
        <v>-9.9833712647143358E-2</v>
      </c>
      <c r="Q6">
        <f>IF(P6&gt;0, 1,0)</f>
        <v>0</v>
      </c>
    </row>
    <row r="7" spans="1:18" x14ac:dyDescent="0.35">
      <c r="P7">
        <v>-0.13316087266780841</v>
      </c>
      <c r="Q7">
        <f t="shared" ref="Q7:Q43" si="0">IF(P7&gt;0, 1,0)</f>
        <v>0</v>
      </c>
    </row>
    <row r="8" spans="1:18" x14ac:dyDescent="0.35">
      <c r="P8">
        <v>-0.10291788166079385</v>
      </c>
      <c r="Q8">
        <f t="shared" si="0"/>
        <v>0</v>
      </c>
    </row>
    <row r="9" spans="1:18" x14ac:dyDescent="0.35">
      <c r="P9">
        <v>-2.3704521516091148E-2</v>
      </c>
      <c r="Q9">
        <f t="shared" si="0"/>
        <v>0</v>
      </c>
      <c r="R9">
        <v>1</v>
      </c>
    </row>
    <row r="10" spans="1:18" x14ac:dyDescent="0.35">
      <c r="P10">
        <v>8.4695895732050275E-2</v>
      </c>
      <c r="Q10">
        <f t="shared" si="0"/>
        <v>1</v>
      </c>
    </row>
    <row r="11" spans="1:18" x14ac:dyDescent="0.35">
      <c r="F11" t="s">
        <v>224</v>
      </c>
      <c r="P11">
        <v>0.11920429817743283</v>
      </c>
      <c r="Q11">
        <f t="shared" si="0"/>
        <v>1</v>
      </c>
    </row>
    <row r="12" spans="1:18" x14ac:dyDescent="0.35">
      <c r="F12" t="s">
        <v>225</v>
      </c>
      <c r="P12">
        <v>9.6308400179385245E-2</v>
      </c>
      <c r="Q12">
        <f t="shared" si="0"/>
        <v>1</v>
      </c>
    </row>
    <row r="13" spans="1:18" x14ac:dyDescent="0.35">
      <c r="F13" t="s">
        <v>231</v>
      </c>
      <c r="P13">
        <v>0.13411157940793927</v>
      </c>
      <c r="Q13">
        <f t="shared" si="0"/>
        <v>1</v>
      </c>
      <c r="R13">
        <v>2</v>
      </c>
    </row>
    <row r="14" spans="1:18" x14ac:dyDescent="0.35">
      <c r="P14">
        <v>-1.435239738325933E-2</v>
      </c>
      <c r="Q14">
        <f t="shared" si="0"/>
        <v>0</v>
      </c>
    </row>
    <row r="15" spans="1:18" x14ac:dyDescent="0.35">
      <c r="P15">
        <v>-2.4814983907219812E-3</v>
      </c>
      <c r="Q15">
        <f t="shared" si="0"/>
        <v>0</v>
      </c>
    </row>
    <row r="16" spans="1:18" x14ac:dyDescent="0.35">
      <c r="G16" t="s">
        <v>211</v>
      </c>
      <c r="H16">
        <v>17</v>
      </c>
      <c r="P16">
        <v>-5.175791408028374E-2</v>
      </c>
      <c r="Q16">
        <f t="shared" si="0"/>
        <v>0</v>
      </c>
      <c r="R16">
        <v>3</v>
      </c>
    </row>
    <row r="17" spans="6:18" x14ac:dyDescent="0.35">
      <c r="G17" t="s">
        <v>213</v>
      </c>
      <c r="H17">
        <f>COUNTIF(Q6:Q43,"0")</f>
        <v>21</v>
      </c>
      <c r="I17" s="4" t="s">
        <v>214</v>
      </c>
      <c r="P17">
        <v>3.812692540899576E-2</v>
      </c>
      <c r="Q17">
        <f t="shared" si="0"/>
        <v>1</v>
      </c>
    </row>
    <row r="18" spans="6:18" x14ac:dyDescent="0.35">
      <c r="G18" t="s">
        <v>212</v>
      </c>
      <c r="H18">
        <f>COUNTIF(Q6:Q43, 1)</f>
        <v>17</v>
      </c>
      <c r="I18" s="4" t="s">
        <v>215</v>
      </c>
      <c r="P18">
        <v>2.4963507952669772E-2</v>
      </c>
      <c r="Q18">
        <f t="shared" si="0"/>
        <v>1</v>
      </c>
    </row>
    <row r="19" spans="6:18" x14ac:dyDescent="0.35">
      <c r="P19">
        <v>2.4687400675055926E-2</v>
      </c>
      <c r="Q19">
        <f t="shared" si="0"/>
        <v>1</v>
      </c>
      <c r="R19">
        <v>4</v>
      </c>
    </row>
    <row r="20" spans="6:18" x14ac:dyDescent="0.35">
      <c r="G20" t="s">
        <v>216</v>
      </c>
      <c r="P20">
        <v>-9.5650807234548552E-4</v>
      </c>
      <c r="Q20">
        <f t="shared" si="0"/>
        <v>0</v>
      </c>
    </row>
    <row r="21" spans="6:18" x14ac:dyDescent="0.35">
      <c r="P21">
        <v>-3.0548042548574017E-2</v>
      </c>
      <c r="Q21">
        <f t="shared" si="0"/>
        <v>0</v>
      </c>
      <c r="R21">
        <v>5</v>
      </c>
    </row>
    <row r="22" spans="6:18" x14ac:dyDescent="0.35">
      <c r="G22" t="s">
        <v>217</v>
      </c>
      <c r="H22">
        <f>(2*H18*H17/(H18+H17))+1</f>
        <v>19.789473684210527</v>
      </c>
      <c r="P22">
        <v>6.5922689596920492E-2</v>
      </c>
      <c r="Q22">
        <f t="shared" si="0"/>
        <v>1</v>
      </c>
      <c r="R22">
        <v>6</v>
      </c>
    </row>
    <row r="23" spans="6:18" x14ac:dyDescent="0.35">
      <c r="G23" t="s">
        <v>218</v>
      </c>
      <c r="H23">
        <f>SQRT((2*H18*H17*(2*H18*H17-H18-H17))/((H18+H17)^2*(H18+H17-1)))</f>
        <v>3.005647151817362</v>
      </c>
      <c r="P23">
        <v>-1.4799479494314483E-2</v>
      </c>
      <c r="Q23">
        <f t="shared" si="0"/>
        <v>0</v>
      </c>
    </row>
    <row r="24" spans="6:18" x14ac:dyDescent="0.35">
      <c r="G24" t="s">
        <v>219</v>
      </c>
      <c r="H24">
        <f>(H16-H22)/H23</f>
        <v>-0.9280775631044631</v>
      </c>
      <c r="P24">
        <v>-7.3640339057082116E-2</v>
      </c>
      <c r="Q24">
        <f t="shared" si="0"/>
        <v>0</v>
      </c>
    </row>
    <row r="25" spans="6:18" x14ac:dyDescent="0.35">
      <c r="G25" t="s">
        <v>220</v>
      </c>
      <c r="H25">
        <f>2</f>
        <v>2</v>
      </c>
      <c r="P25">
        <v>-8.0953302943168381E-2</v>
      </c>
      <c r="Q25">
        <f t="shared" si="0"/>
        <v>0</v>
      </c>
      <c r="R25">
        <v>7</v>
      </c>
    </row>
    <row r="26" spans="6:18" x14ac:dyDescent="0.35">
      <c r="G26" t="s">
        <v>221</v>
      </c>
      <c r="H26" t="s">
        <v>222</v>
      </c>
      <c r="P26">
        <v>2.5367362331106591E-2</v>
      </c>
      <c r="Q26">
        <f t="shared" si="0"/>
        <v>1</v>
      </c>
    </row>
    <row r="27" spans="6:18" x14ac:dyDescent="0.35">
      <c r="G27" t="s">
        <v>223</v>
      </c>
      <c r="P27">
        <v>1.4580297223780292E-2</v>
      </c>
      <c r="Q27">
        <f t="shared" si="0"/>
        <v>1</v>
      </c>
      <c r="R27">
        <v>8</v>
      </c>
    </row>
    <row r="28" spans="6:18" x14ac:dyDescent="0.35">
      <c r="F28" t="s">
        <v>226</v>
      </c>
      <c r="P28">
        <v>-4.5711020079806985E-2</v>
      </c>
      <c r="Q28">
        <f t="shared" si="0"/>
        <v>0</v>
      </c>
    </row>
    <row r="29" spans="6:18" x14ac:dyDescent="0.35">
      <c r="F29" s="61" t="s">
        <v>232</v>
      </c>
      <c r="G29" s="61"/>
      <c r="H29" s="61"/>
      <c r="I29" s="61"/>
      <c r="J29" s="61"/>
      <c r="K29" s="61"/>
      <c r="L29" s="61"/>
      <c r="M29" s="61"/>
      <c r="N29" s="61"/>
      <c r="O29" s="61"/>
      <c r="P29">
        <v>-3.8722724033881661E-2</v>
      </c>
      <c r="Q29">
        <f t="shared" si="0"/>
        <v>0</v>
      </c>
      <c r="R29">
        <v>9</v>
      </c>
    </row>
    <row r="30" spans="6:18" x14ac:dyDescent="0.35">
      <c r="F30" s="61"/>
      <c r="G30" s="61"/>
      <c r="H30" s="61"/>
      <c r="I30" s="61"/>
      <c r="J30" s="61"/>
      <c r="K30" s="61"/>
      <c r="L30" s="61"/>
      <c r="M30" s="61"/>
      <c r="N30" s="61"/>
      <c r="O30" s="61"/>
      <c r="P30">
        <v>2.2671102489532302E-2</v>
      </c>
      <c r="Q30">
        <f t="shared" si="0"/>
        <v>1</v>
      </c>
      <c r="R30">
        <v>10</v>
      </c>
    </row>
    <row r="31" spans="6:18" x14ac:dyDescent="0.35">
      <c r="P31">
        <v>-9.4489346623607418E-2</v>
      </c>
      <c r="Q31">
        <f t="shared" si="0"/>
        <v>0</v>
      </c>
    </row>
    <row r="32" spans="6:18" x14ac:dyDescent="0.35">
      <c r="P32">
        <v>-3.4030543672010083E-3</v>
      </c>
      <c r="Q32">
        <f t="shared" si="0"/>
        <v>0</v>
      </c>
      <c r="R32">
        <v>11</v>
      </c>
    </row>
    <row r="33" spans="16:18" x14ac:dyDescent="0.35">
      <c r="P33">
        <v>0.11631587147742195</v>
      </c>
      <c r="Q33">
        <f t="shared" si="0"/>
        <v>1</v>
      </c>
    </row>
    <row r="34" spans="16:18" x14ac:dyDescent="0.35">
      <c r="P34">
        <v>3.5901935426391418E-2</v>
      </c>
      <c r="Q34">
        <f t="shared" si="0"/>
        <v>1</v>
      </c>
      <c r="R34">
        <v>12</v>
      </c>
    </row>
    <row r="35" spans="16:18" x14ac:dyDescent="0.35">
      <c r="P35">
        <v>-5.798103840085389E-2</v>
      </c>
      <c r="Q35">
        <f t="shared" si="0"/>
        <v>0</v>
      </c>
      <c r="R35">
        <v>13</v>
      </c>
    </row>
    <row r="36" spans="16:18" x14ac:dyDescent="0.35">
      <c r="P36">
        <v>3.6148142086396717E-2</v>
      </c>
      <c r="Q36">
        <f t="shared" si="0"/>
        <v>1</v>
      </c>
    </row>
    <row r="37" spans="16:18" x14ac:dyDescent="0.35">
      <c r="P37">
        <v>7.2088444529935458E-2</v>
      </c>
      <c r="Q37">
        <f t="shared" si="0"/>
        <v>1</v>
      </c>
      <c r="R37">
        <v>14</v>
      </c>
    </row>
    <row r="38" spans="16:18" x14ac:dyDescent="0.35">
      <c r="P38">
        <v>-1.0376672321758207E-2</v>
      </c>
      <c r="Q38">
        <f t="shared" si="0"/>
        <v>0</v>
      </c>
      <c r="R38">
        <v>15</v>
      </c>
    </row>
    <row r="39" spans="16:18" x14ac:dyDescent="0.35">
      <c r="P39">
        <v>3.5194898898875948E-2</v>
      </c>
      <c r="Q39">
        <f t="shared" si="0"/>
        <v>1</v>
      </c>
    </row>
    <row r="40" spans="16:18" x14ac:dyDescent="0.35">
      <c r="P40">
        <v>7.1991570848751962E-2</v>
      </c>
      <c r="Q40">
        <f t="shared" si="0"/>
        <v>1</v>
      </c>
      <c r="R40">
        <v>16</v>
      </c>
    </row>
    <row r="41" spans="16:18" x14ac:dyDescent="0.35">
      <c r="P41">
        <v>-2.9233132555589236E-2</v>
      </c>
      <c r="Q41">
        <f t="shared" si="0"/>
        <v>0</v>
      </c>
    </row>
    <row r="42" spans="16:18" x14ac:dyDescent="0.35">
      <c r="P42">
        <v>-2.7331584079121285E-2</v>
      </c>
      <c r="Q42">
        <f t="shared" si="0"/>
        <v>0</v>
      </c>
    </row>
    <row r="43" spans="16:18" ht="15" thickBot="1" x14ac:dyDescent="0.4">
      <c r="P43" s="31">
        <v>-8.1925279519435179E-2</v>
      </c>
      <c r="Q43">
        <f t="shared" si="0"/>
        <v>0</v>
      </c>
      <c r="R43">
        <v>17</v>
      </c>
    </row>
  </sheetData>
  <mergeCells count="6">
    <mergeCell ref="A1:F1"/>
    <mergeCell ref="F29:O30"/>
    <mergeCell ref="A3:F3"/>
    <mergeCell ref="A4:F4"/>
    <mergeCell ref="A5:F5"/>
    <mergeCell ref="A6:F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46"/>
  <sheetViews>
    <sheetView topLeftCell="A2" workbookViewId="0">
      <selection activeCell="B8" sqref="B8:I28"/>
    </sheetView>
  </sheetViews>
  <sheetFormatPr defaultRowHeight="14.5" x14ac:dyDescent="0.35"/>
  <cols>
    <col min="1" max="1" width="99.81640625" customWidth="1"/>
    <col min="2" max="2" width="13.81640625" customWidth="1"/>
    <col min="3" max="3" width="11.81640625" bestFit="1" customWidth="1"/>
    <col min="10" max="10" width="12.453125" bestFit="1" customWidth="1"/>
    <col min="13" max="13" width="11.81640625" bestFit="1" customWidth="1"/>
  </cols>
  <sheetData>
    <row r="1" spans="1:13" ht="26" x14ac:dyDescent="0.6">
      <c r="A1" s="16" t="s">
        <v>32</v>
      </c>
    </row>
    <row r="3" spans="1:13" ht="21" x14ac:dyDescent="0.5">
      <c r="A3" s="19" t="s">
        <v>19</v>
      </c>
    </row>
    <row r="4" spans="1:13" ht="21" x14ac:dyDescent="0.5">
      <c r="A4" s="19" t="s">
        <v>29</v>
      </c>
    </row>
    <row r="5" spans="1:13" ht="21" x14ac:dyDescent="0.5">
      <c r="A5" s="19" t="s">
        <v>30</v>
      </c>
    </row>
    <row r="6" spans="1:13" ht="21" x14ac:dyDescent="0.5">
      <c r="A6" s="19" t="s">
        <v>31</v>
      </c>
    </row>
    <row r="7" spans="1:13" x14ac:dyDescent="0.35">
      <c r="J7" t="s">
        <v>186</v>
      </c>
    </row>
    <row r="8" spans="1:13" ht="21" x14ac:dyDescent="0.5">
      <c r="A8" s="19" t="s">
        <v>33</v>
      </c>
      <c r="B8" t="s">
        <v>187</v>
      </c>
      <c r="J8">
        <v>-9.9833712647143358E-2</v>
      </c>
      <c r="K8">
        <f>J8^2</f>
        <v>9.9667701809123908E-3</v>
      </c>
      <c r="L8">
        <f>J8^3</f>
        <v>-9.9501967026132472E-4</v>
      </c>
      <c r="M8">
        <f>J8^4</f>
        <v>9.9336507839124417E-5</v>
      </c>
    </row>
    <row r="9" spans="1:13" ht="15.5" x14ac:dyDescent="0.35">
      <c r="A9" s="22" t="s">
        <v>34</v>
      </c>
      <c r="B9" t="s">
        <v>188</v>
      </c>
      <c r="J9">
        <v>-0.13316087266780841</v>
      </c>
      <c r="K9">
        <f t="shared" ref="K9:K45" si="0">J9^2</f>
        <v>1.7731818009652282E-2</v>
      </c>
      <c r="L9">
        <f t="shared" ref="L9:L45" si="1">J9^3</f>
        <v>-2.3611843601520593E-3</v>
      </c>
      <c r="M9">
        <f t="shared" ref="M9:M45" si="2">J9^4</f>
        <v>3.1441736992742902E-4</v>
      </c>
    </row>
    <row r="10" spans="1:13" ht="15.5" x14ac:dyDescent="0.35">
      <c r="A10" s="22" t="s">
        <v>35</v>
      </c>
      <c r="B10" t="s">
        <v>189</v>
      </c>
      <c r="J10">
        <v>-0.10291788166079385</v>
      </c>
      <c r="K10">
        <f t="shared" si="0"/>
        <v>1.0592090365545167E-2</v>
      </c>
      <c r="L10">
        <f t="shared" si="1"/>
        <v>-1.0901155027816121E-3</v>
      </c>
      <c r="M10">
        <f t="shared" si="2"/>
        <v>1.1219237831187476E-4</v>
      </c>
    </row>
    <row r="11" spans="1:13" ht="15.5" x14ac:dyDescent="0.35">
      <c r="A11" s="22"/>
      <c r="J11">
        <v>-2.3704521516091148E-2</v>
      </c>
      <c r="K11">
        <f t="shared" si="0"/>
        <v>5.6190434030682819E-4</v>
      </c>
      <c r="L11">
        <f t="shared" si="1"/>
        <v>-1.3319673524788211E-5</v>
      </c>
      <c r="M11">
        <f t="shared" si="2"/>
        <v>3.1573648765565179E-7</v>
      </c>
    </row>
    <row r="12" spans="1:13" ht="15.5" x14ac:dyDescent="0.35">
      <c r="C12" s="21"/>
      <c r="J12">
        <v>8.4695895732050275E-2</v>
      </c>
      <c r="K12">
        <f t="shared" si="0"/>
        <v>7.1733947538543319E-3</v>
      </c>
      <c r="L12">
        <f t="shared" si="1"/>
        <v>6.0755709411728297E-4</v>
      </c>
      <c r="M12">
        <f t="shared" si="2"/>
        <v>5.1457592294624851E-5</v>
      </c>
    </row>
    <row r="13" spans="1:13" ht="21" x14ac:dyDescent="0.5">
      <c r="A13" s="19" t="s">
        <v>33</v>
      </c>
      <c r="B13" t="s">
        <v>190</v>
      </c>
      <c r="C13">
        <f>C15/C17^3</f>
        <v>0.10374891885734809</v>
      </c>
      <c r="J13">
        <v>0.11920429817743283</v>
      </c>
      <c r="K13">
        <f t="shared" si="0"/>
        <v>1.4209664703974317E-2</v>
      </c>
      <c r="L13">
        <f t="shared" si="1"/>
        <v>1.6938531083738973E-3</v>
      </c>
      <c r="M13">
        <f t="shared" si="2"/>
        <v>2.0191457099937349E-4</v>
      </c>
    </row>
    <row r="14" spans="1:13" ht="46.5" x14ac:dyDescent="0.35">
      <c r="A14" s="22" t="s">
        <v>36</v>
      </c>
      <c r="B14" t="s">
        <v>191</v>
      </c>
      <c r="C14">
        <f>C16/C17^4</f>
        <v>2.3713987645091756</v>
      </c>
      <c r="J14">
        <v>9.6308400179385245E-2</v>
      </c>
      <c r="K14">
        <f t="shared" si="0"/>
        <v>9.2753079451126114E-3</v>
      </c>
      <c r="L14">
        <f t="shared" si="1"/>
        <v>8.9329006936493679E-4</v>
      </c>
      <c r="M14">
        <f t="shared" si="2"/>
        <v>8.6031337476669131E-5</v>
      </c>
    </row>
    <row r="15" spans="1:13" ht="15.5" x14ac:dyDescent="0.35">
      <c r="A15" s="22"/>
      <c r="B15" t="s">
        <v>192</v>
      </c>
      <c r="C15">
        <f>1/38*L46</f>
        <v>2.9408443504831178E-5</v>
      </c>
      <c r="J15">
        <v>0.13411157940793927</v>
      </c>
      <c r="K15">
        <f t="shared" si="0"/>
        <v>1.7985915731292001E-2</v>
      </c>
      <c r="L15">
        <f t="shared" si="1"/>
        <v>2.4121195658216715E-3</v>
      </c>
      <c r="M15">
        <f t="shared" si="2"/>
        <v>3.2349316469313706E-4</v>
      </c>
    </row>
    <row r="16" spans="1:13" x14ac:dyDescent="0.35">
      <c r="B16" t="s">
        <v>193</v>
      </c>
      <c r="C16">
        <f>1/38*M46</f>
        <v>4.4155946860212781E-5</v>
      </c>
      <c r="J16">
        <v>-1.435239738325933E-2</v>
      </c>
      <c r="K16">
        <f t="shared" si="0"/>
        <v>2.0599131064698927E-4</v>
      </c>
      <c r="L16">
        <f t="shared" si="1"/>
        <v>-2.9564691479040086E-6</v>
      </c>
      <c r="M16">
        <f t="shared" si="2"/>
        <v>4.2432420062064434E-8</v>
      </c>
    </row>
    <row r="17" spans="1:13" ht="46.5" x14ac:dyDescent="0.35">
      <c r="A17" s="22" t="s">
        <v>37</v>
      </c>
      <c r="B17" t="s">
        <v>194</v>
      </c>
      <c r="C17">
        <f>SQRT(1/38*K46)</f>
        <v>6.568952979268218E-2</v>
      </c>
      <c r="J17">
        <v>-2.4814983907219812E-3</v>
      </c>
      <c r="K17">
        <f t="shared" si="0"/>
        <v>6.1578342631557821E-6</v>
      </c>
      <c r="L17">
        <f t="shared" si="1"/>
        <v>-1.528065581435375E-8</v>
      </c>
      <c r="M17">
        <f t="shared" si="2"/>
        <v>3.7918922812495315E-11</v>
      </c>
    </row>
    <row r="18" spans="1:13" ht="15.5" x14ac:dyDescent="0.35">
      <c r="A18" s="22" t="s">
        <v>38</v>
      </c>
      <c r="B18" t="s">
        <v>196</v>
      </c>
      <c r="J18">
        <v>-5.175791408028374E-2</v>
      </c>
      <c r="K18">
        <f t="shared" si="0"/>
        <v>2.6788816699420339E-3</v>
      </c>
      <c r="L18">
        <f t="shared" si="1"/>
        <v>-1.3865332730410681E-4</v>
      </c>
      <c r="M18">
        <f t="shared" si="2"/>
        <v>7.17640700155142E-6</v>
      </c>
    </row>
    <row r="19" spans="1:13" ht="15.5" x14ac:dyDescent="0.35">
      <c r="A19" s="22" t="s">
        <v>39</v>
      </c>
      <c r="J19">
        <v>3.812692540899576E-2</v>
      </c>
      <c r="K19">
        <f t="shared" si="0"/>
        <v>1.4536624411431265E-3</v>
      </c>
      <c r="L19">
        <f t="shared" si="1"/>
        <v>5.542367946332267E-5</v>
      </c>
      <c r="M19">
        <f t="shared" si="2"/>
        <v>2.1131344927901936E-6</v>
      </c>
    </row>
    <row r="20" spans="1:13" x14ac:dyDescent="0.35">
      <c r="B20" t="s">
        <v>197</v>
      </c>
      <c r="C20">
        <f>38/6*(C13^2+1/4*(C14-3)^2)</f>
        <v>0.69380853770170325</v>
      </c>
      <c r="J20">
        <v>2.4963507952669772E-2</v>
      </c>
      <c r="K20">
        <f t="shared" si="0"/>
        <v>6.2317672930300701E-4</v>
      </c>
      <c r="L20">
        <f t="shared" si="1"/>
        <v>1.5556677237874353E-5</v>
      </c>
      <c r="M20">
        <f t="shared" si="2"/>
        <v>3.8834923594479329E-7</v>
      </c>
    </row>
    <row r="21" spans="1:13" x14ac:dyDescent="0.35">
      <c r="J21">
        <v>2.4687400675055926E-2</v>
      </c>
      <c r="K21">
        <f t="shared" si="0"/>
        <v>6.094677520907518E-4</v>
      </c>
      <c r="L21">
        <f t="shared" si="1"/>
        <v>1.5046174594390043E-5</v>
      </c>
      <c r="M21">
        <f t="shared" si="2"/>
        <v>3.7145094083855412E-7</v>
      </c>
    </row>
    <row r="22" spans="1:13" x14ac:dyDescent="0.35">
      <c r="B22" t="s">
        <v>198</v>
      </c>
      <c r="C22">
        <f>_xlfn.CHISQ.INV.RT(0.05,2)</f>
        <v>5.9914645471079817</v>
      </c>
      <c r="J22">
        <v>-9.5650807234548552E-4</v>
      </c>
      <c r="K22">
        <f t="shared" si="0"/>
        <v>9.1490769246207656E-7</v>
      </c>
      <c r="L22">
        <f t="shared" si="1"/>
        <v>-8.7511659329095718E-10</v>
      </c>
      <c r="M22">
        <f t="shared" si="2"/>
        <v>8.3705608572628165E-13</v>
      </c>
    </row>
    <row r="23" spans="1:13" x14ac:dyDescent="0.35">
      <c r="J23">
        <v>-3.0548042548574017E-2</v>
      </c>
      <c r="K23">
        <f t="shared" si="0"/>
        <v>9.3318290354948855E-4</v>
      </c>
      <c r="L23">
        <f t="shared" si="1"/>
        <v>-2.850691104323162E-5</v>
      </c>
      <c r="M23">
        <f t="shared" si="2"/>
        <v>8.7083033147705404E-7</v>
      </c>
    </row>
    <row r="24" spans="1:13" x14ac:dyDescent="0.35">
      <c r="B24" t="s">
        <v>199</v>
      </c>
      <c r="J24">
        <v>6.5922689596920492E-2</v>
      </c>
      <c r="K24">
        <f t="shared" si="0"/>
        <v>4.3458010036919294E-3</v>
      </c>
      <c r="L24">
        <f t="shared" si="1"/>
        <v>2.864868906163686E-4</v>
      </c>
      <c r="M24">
        <f t="shared" si="2"/>
        <v>1.8885986363689781E-5</v>
      </c>
    </row>
    <row r="25" spans="1:13" x14ac:dyDescent="0.35">
      <c r="B25" t="s">
        <v>200</v>
      </c>
      <c r="J25">
        <v>-1.4799479494314483E-2</v>
      </c>
      <c r="K25">
        <f t="shared" si="0"/>
        <v>2.1902459330263484E-4</v>
      </c>
      <c r="L25">
        <f t="shared" si="1"/>
        <v>-3.2414499773329135E-6</v>
      </c>
      <c r="M25">
        <f t="shared" si="2"/>
        <v>4.7971772471384596E-8</v>
      </c>
    </row>
    <row r="26" spans="1:13" x14ac:dyDescent="0.35">
      <c r="B26" s="61" t="s">
        <v>230</v>
      </c>
      <c r="C26" s="61"/>
      <c r="D26" s="61"/>
      <c r="E26" s="61"/>
      <c r="F26" s="61"/>
      <c r="G26" s="61"/>
      <c r="H26" s="61"/>
      <c r="I26" s="61"/>
      <c r="J26">
        <v>-7.3640339057082116E-2</v>
      </c>
      <c r="K26">
        <f t="shared" si="0"/>
        <v>5.4228995364420133E-3</v>
      </c>
      <c r="L26">
        <f t="shared" si="1"/>
        <v>-3.9934416053608328E-4</v>
      </c>
      <c r="M26">
        <f t="shared" si="2"/>
        <v>2.9407839382343002E-5</v>
      </c>
    </row>
    <row r="27" spans="1:13" x14ac:dyDescent="0.35">
      <c r="B27" s="61"/>
      <c r="C27" s="61"/>
      <c r="D27" s="61"/>
      <c r="E27" s="61"/>
      <c r="F27" s="61"/>
      <c r="G27" s="61"/>
      <c r="H27" s="61"/>
      <c r="I27" s="61"/>
      <c r="J27">
        <v>-8.0953302943168381E-2</v>
      </c>
      <c r="K27">
        <f t="shared" si="0"/>
        <v>6.5534372574083946E-3</v>
      </c>
      <c r="L27">
        <f t="shared" si="1"/>
        <v>-5.3052239161802833E-4</v>
      </c>
      <c r="M27">
        <f t="shared" si="2"/>
        <v>4.2947539886788461E-5</v>
      </c>
    </row>
    <row r="28" spans="1:13" x14ac:dyDescent="0.35">
      <c r="B28" s="61"/>
      <c r="C28" s="61"/>
      <c r="D28" s="61"/>
      <c r="E28" s="61"/>
      <c r="F28" s="61"/>
      <c r="G28" s="61"/>
      <c r="H28" s="61"/>
      <c r="I28" s="61"/>
      <c r="J28">
        <v>2.5367362331106591E-2</v>
      </c>
      <c r="K28">
        <f t="shared" si="0"/>
        <v>6.435030716376456E-4</v>
      </c>
      <c r="L28">
        <f t="shared" si="1"/>
        <v>1.6323975579412196E-5</v>
      </c>
      <c r="M28">
        <f t="shared" si="2"/>
        <v>4.1409620320708486E-7</v>
      </c>
    </row>
    <row r="29" spans="1:13" x14ac:dyDescent="0.35">
      <c r="J29">
        <v>1.4580297223780292E-2</v>
      </c>
      <c r="K29">
        <f t="shared" si="0"/>
        <v>2.1258506713377529E-4</v>
      </c>
      <c r="L29">
        <f t="shared" si="1"/>
        <v>3.0995534641477307E-6</v>
      </c>
      <c r="M29">
        <f t="shared" si="2"/>
        <v>4.5192410768271744E-8</v>
      </c>
    </row>
    <row r="30" spans="1:13" x14ac:dyDescent="0.35">
      <c r="J30">
        <v>-4.5711020079806985E-2</v>
      </c>
      <c r="K30">
        <f t="shared" si="0"/>
        <v>2.0894973567365176E-3</v>
      </c>
      <c r="L30">
        <f t="shared" si="1"/>
        <v>-9.5513055630486578E-5</v>
      </c>
      <c r="M30">
        <f t="shared" si="2"/>
        <v>4.3659992038088936E-6</v>
      </c>
    </row>
    <row r="31" spans="1:13" x14ac:dyDescent="0.35">
      <c r="J31">
        <v>-3.8722724033881661E-2</v>
      </c>
      <c r="K31">
        <f t="shared" si="0"/>
        <v>1.4994493566041565E-3</v>
      </c>
      <c r="L31">
        <f t="shared" si="1"/>
        <v>-5.8062763638564168E-5</v>
      </c>
      <c r="M31">
        <f t="shared" si="2"/>
        <v>2.2483483730206191E-6</v>
      </c>
    </row>
    <row r="32" spans="1:13" x14ac:dyDescent="0.35">
      <c r="J32">
        <v>2.2671102489532302E-2</v>
      </c>
      <c r="K32">
        <f t="shared" si="0"/>
        <v>5.1397888809087775E-4</v>
      </c>
      <c r="L32">
        <f t="shared" si="1"/>
        <v>1.1652468049364143E-5</v>
      </c>
      <c r="M32">
        <f t="shared" si="2"/>
        <v>2.6417429740313505E-7</v>
      </c>
    </row>
    <row r="33" spans="9:13" x14ac:dyDescent="0.35">
      <c r="J33">
        <v>-9.4489346623607418E-2</v>
      </c>
      <c r="K33">
        <f t="shared" si="0"/>
        <v>8.9282366253562312E-3</v>
      </c>
      <c r="L33">
        <f t="shared" si="1"/>
        <v>-8.436232452308719E-4</v>
      </c>
      <c r="M33">
        <f t="shared" si="2"/>
        <v>7.9713409238352421E-5</v>
      </c>
    </row>
    <row r="34" spans="9:13" x14ac:dyDescent="0.35">
      <c r="J34">
        <v>-3.4030543672010083E-3</v>
      </c>
      <c r="K34">
        <f t="shared" si="0"/>
        <v>1.1580779026125856E-5</v>
      </c>
      <c r="L34">
        <f t="shared" si="1"/>
        <v>-3.9410020640447435E-8</v>
      </c>
      <c r="M34">
        <f t="shared" si="2"/>
        <v>1.3411444285195652E-10</v>
      </c>
    </row>
    <row r="35" spans="9:13" x14ac:dyDescent="0.35">
      <c r="J35">
        <v>0.11631587147742195</v>
      </c>
      <c r="K35">
        <f t="shared" si="0"/>
        <v>1.3529381957552142E-2</v>
      </c>
      <c r="L35">
        <f t="shared" si="1"/>
        <v>1.5736818529435864E-3</v>
      </c>
      <c r="M35">
        <f t="shared" si="2"/>
        <v>1.8304417615333743E-4</v>
      </c>
    </row>
    <row r="36" spans="9:13" x14ac:dyDescent="0.35">
      <c r="J36">
        <v>3.5901935426391418E-2</v>
      </c>
      <c r="K36">
        <f t="shared" si="0"/>
        <v>1.2889489673607792E-3</v>
      </c>
      <c r="L36">
        <f t="shared" si="1"/>
        <v>4.6275762594100592E-5</v>
      </c>
      <c r="M36">
        <f t="shared" si="2"/>
        <v>1.6613894404604191E-6</v>
      </c>
    </row>
    <row r="37" spans="9:13" x14ac:dyDescent="0.35">
      <c r="J37">
        <v>-5.798103840085389E-2</v>
      </c>
      <c r="K37">
        <f t="shared" si="0"/>
        <v>3.3618008140412934E-3</v>
      </c>
      <c r="L37">
        <f t="shared" si="1"/>
        <v>-1.9492070209495011E-4</v>
      </c>
      <c r="M37">
        <f t="shared" si="2"/>
        <v>1.1301704713288703E-5</v>
      </c>
    </row>
    <row r="38" spans="9:13" x14ac:dyDescent="0.35">
      <c r="J38">
        <v>3.6148142086396717E-2</v>
      </c>
      <c r="K38">
        <f t="shared" si="0"/>
        <v>1.3066881762983256E-3</v>
      </c>
      <c r="L38">
        <f t="shared" si="1"/>
        <v>4.7234349859446476E-5</v>
      </c>
      <c r="M38">
        <f t="shared" si="2"/>
        <v>1.707433990077844E-6</v>
      </c>
    </row>
    <row r="39" spans="9:13" x14ac:dyDescent="0.35">
      <c r="J39">
        <v>7.2088444529935458E-2</v>
      </c>
      <c r="K39">
        <f t="shared" si="0"/>
        <v>5.1967438347455819E-3</v>
      </c>
      <c r="L39">
        <f t="shared" si="1"/>
        <v>3.7462517966734097E-4</v>
      </c>
      <c r="M39">
        <f t="shared" si="2"/>
        <v>2.7006146483966215E-5</v>
      </c>
    </row>
    <row r="40" spans="9:13" x14ac:dyDescent="0.35">
      <c r="J40">
        <v>-1.0376672321758207E-2</v>
      </c>
      <c r="K40">
        <f t="shared" si="0"/>
        <v>1.0767532847314285E-4</v>
      </c>
      <c r="L40">
        <f t="shared" si="1"/>
        <v>-1.1173116007034848E-6</v>
      </c>
      <c r="M40">
        <f t="shared" si="2"/>
        <v>1.1593976361799208E-8</v>
      </c>
    </row>
    <row r="41" spans="9:13" x14ac:dyDescent="0.35">
      <c r="J41">
        <v>3.5194898898875948E-2</v>
      </c>
      <c r="K41">
        <f t="shared" si="0"/>
        <v>1.2386809085020993E-3</v>
      </c>
      <c r="L41">
        <f t="shared" si="1"/>
        <v>4.3595249342699196E-5</v>
      </c>
      <c r="M41">
        <f t="shared" si="2"/>
        <v>1.5343303930875861E-6</v>
      </c>
    </row>
    <row r="42" spans="9:13" x14ac:dyDescent="0.35">
      <c r="J42">
        <v>7.1991570848751962E-2</v>
      </c>
      <c r="K42">
        <f t="shared" si="0"/>
        <v>5.1827862732708729E-3</v>
      </c>
      <c r="L42">
        <f t="shared" si="1"/>
        <v>3.7311692518611917E-4</v>
      </c>
      <c r="M42">
        <f t="shared" si="2"/>
        <v>2.6861273554404984E-5</v>
      </c>
    </row>
    <row r="43" spans="9:13" x14ac:dyDescent="0.35">
      <c r="J43">
        <v>-2.9233132555589236E-2</v>
      </c>
      <c r="K43">
        <f t="shared" si="0"/>
        <v>8.545760390126513E-4</v>
      </c>
      <c r="L43">
        <f t="shared" si="1"/>
        <v>-2.4981934627287236E-5</v>
      </c>
      <c r="M43">
        <f t="shared" si="2"/>
        <v>7.3030020645455253E-7</v>
      </c>
    </row>
    <row r="44" spans="9:13" x14ac:dyDescent="0.35">
      <c r="J44">
        <v>-2.7331584079121285E-2</v>
      </c>
      <c r="K44">
        <f t="shared" si="0"/>
        <v>7.4701548827407608E-4</v>
      </c>
      <c r="L44">
        <f t="shared" si="1"/>
        <v>-2.0417116626168752E-5</v>
      </c>
      <c r="M44">
        <f t="shared" si="2"/>
        <v>5.5803213972135634E-7</v>
      </c>
    </row>
    <row r="45" spans="9:13" ht="15" thickBot="1" x14ac:dyDescent="0.4">
      <c r="J45" s="31">
        <v>-8.1925279519435179E-2</v>
      </c>
      <c r="K45">
        <f t="shared" si="0"/>
        <v>6.7117514243375852E-3</v>
      </c>
      <c r="L45">
        <f t="shared" si="1"/>
        <v>-5.4986211150382389E-4</v>
      </c>
      <c r="M45">
        <f t="shared" si="2"/>
        <v>4.5047607182097601E-5</v>
      </c>
    </row>
    <row r="46" spans="9:13" x14ac:dyDescent="0.35">
      <c r="I46" t="s">
        <v>195</v>
      </c>
      <c r="J46">
        <f>SUM(J8:J45)</f>
        <v>-1.9895196601282805E-13</v>
      </c>
      <c r="K46">
        <f>SUM(K8:K45)</f>
        <v>0.16397434432657984</v>
      </c>
      <c r="L46">
        <f t="shared" ref="L46:M46" si="3">SUM(L8:L45)</f>
        <v>1.1175208531835849E-3</v>
      </c>
      <c r="M46">
        <f t="shared" si="3"/>
        <v>1.6779259806880857E-3</v>
      </c>
    </row>
  </sheetData>
  <mergeCells count="1">
    <mergeCell ref="B26:I28"/>
  </mergeCells>
  <pageMargins left="0.7" right="0.7" top="0.75" bottom="0.75" header="0.3" footer="0.3"/>
  <pageSetup paperSize="9" orientation="portrait" verticalDpi="597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0"/>
  <sheetViews>
    <sheetView topLeftCell="A35" zoomScale="115" zoomScaleNormal="115" workbookViewId="0">
      <selection activeCell="A49" sqref="A49"/>
    </sheetView>
  </sheetViews>
  <sheetFormatPr defaultRowHeight="14.5" x14ac:dyDescent="0.35"/>
  <cols>
    <col min="1" max="1" width="80.81640625" customWidth="1"/>
    <col min="6" max="6" width="86.1796875" customWidth="1"/>
  </cols>
  <sheetData>
    <row r="1" spans="1:6" ht="26.5" thickBot="1" x14ac:dyDescent="0.4">
      <c r="A1" s="91" t="s">
        <v>40</v>
      </c>
      <c r="B1" s="92"/>
      <c r="C1" s="92"/>
      <c r="D1" s="92"/>
      <c r="E1" s="92"/>
      <c r="F1" s="93"/>
    </row>
    <row r="2" spans="1:6" ht="15" customHeight="1" thickBot="1" x14ac:dyDescent="0.4"/>
    <row r="3" spans="1:6" ht="21.5" thickBot="1" x14ac:dyDescent="0.4">
      <c r="A3" s="94" t="s">
        <v>41</v>
      </c>
      <c r="B3" s="95"/>
      <c r="C3" s="95"/>
      <c r="D3" s="95"/>
      <c r="E3" s="95"/>
      <c r="F3" s="96"/>
    </row>
    <row r="4" spans="1:6" ht="21.5" thickBot="1" x14ac:dyDescent="0.4">
      <c r="A4" s="97" t="s">
        <v>42</v>
      </c>
      <c r="B4" s="98"/>
      <c r="C4" s="98"/>
      <c r="D4" s="98"/>
      <c r="E4" s="98"/>
      <c r="F4" s="99"/>
    </row>
    <row r="5" spans="1:6" ht="15" thickBot="1" x14ac:dyDescent="0.4"/>
    <row r="6" spans="1:6" ht="21.5" thickBot="1" x14ac:dyDescent="0.4">
      <c r="A6" s="20" t="s">
        <v>19</v>
      </c>
    </row>
    <row r="7" spans="1:6" ht="21.5" thickBot="1" x14ac:dyDescent="0.4">
      <c r="A7" s="20" t="s">
        <v>29</v>
      </c>
    </row>
    <row r="8" spans="1:6" ht="21.5" thickBot="1" x14ac:dyDescent="0.4">
      <c r="A8" s="20" t="s">
        <v>30</v>
      </c>
    </row>
    <row r="9" spans="1:6" ht="21.5" thickBot="1" x14ac:dyDescent="0.4">
      <c r="A9" s="20" t="s">
        <v>31</v>
      </c>
    </row>
    <row r="11" spans="1:6" ht="15" thickBot="1" x14ac:dyDescent="0.4"/>
    <row r="12" spans="1:6" ht="21.75" customHeight="1" thickBot="1" x14ac:dyDescent="0.4">
      <c r="A12" s="20" t="s">
        <v>43</v>
      </c>
    </row>
    <row r="13" spans="1:6" ht="15.5" x14ac:dyDescent="0.35">
      <c r="A13" s="21" t="s">
        <v>44</v>
      </c>
    </row>
    <row r="14" spans="1:6" ht="15.5" x14ac:dyDescent="0.35">
      <c r="A14" s="21" t="s">
        <v>45</v>
      </c>
    </row>
    <row r="16" spans="1:6" x14ac:dyDescent="0.35">
      <c r="A16" t="s">
        <v>201</v>
      </c>
    </row>
    <row r="17" spans="1:1" x14ac:dyDescent="0.35">
      <c r="A17" t="s">
        <v>202</v>
      </c>
    </row>
    <row r="27" spans="1:1" x14ac:dyDescent="0.35">
      <c r="A27" t="s">
        <v>203</v>
      </c>
    </row>
    <row r="28" spans="1:1" x14ac:dyDescent="0.35">
      <c r="A28" t="s">
        <v>204</v>
      </c>
    </row>
    <row r="29" spans="1:1" x14ac:dyDescent="0.35">
      <c r="A29" t="s">
        <v>205</v>
      </c>
    </row>
    <row r="31" spans="1:1" x14ac:dyDescent="0.35">
      <c r="A31" t="s">
        <v>227</v>
      </c>
    </row>
    <row r="50" spans="1:1" x14ac:dyDescent="0.35">
      <c r="A50" t="s">
        <v>228</v>
      </c>
    </row>
  </sheetData>
  <mergeCells count="3">
    <mergeCell ref="A1:F1"/>
    <mergeCell ref="A3:F3"/>
    <mergeCell ref="A4:F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61"/>
  <sheetViews>
    <sheetView topLeftCell="A32" workbookViewId="0">
      <selection activeCell="A62" sqref="A62"/>
    </sheetView>
  </sheetViews>
  <sheetFormatPr defaultRowHeight="14.5" x14ac:dyDescent="0.35"/>
  <cols>
    <col min="1" max="1" width="107.1796875" customWidth="1"/>
    <col min="9" max="9" width="13.36328125" bestFit="1" customWidth="1"/>
    <col min="17" max="17" width="13.36328125" bestFit="1" customWidth="1"/>
  </cols>
  <sheetData>
    <row r="1" spans="1:19" ht="26" x14ac:dyDescent="0.6">
      <c r="A1" s="16" t="s">
        <v>46</v>
      </c>
    </row>
    <row r="2" spans="1:19" ht="15.75" customHeight="1" x14ac:dyDescent="0.35"/>
    <row r="3" spans="1:19" ht="21" x14ac:dyDescent="0.5">
      <c r="A3" s="19" t="s">
        <v>19</v>
      </c>
    </row>
    <row r="4" spans="1:19" ht="21" x14ac:dyDescent="0.5">
      <c r="A4" s="19" t="s">
        <v>29</v>
      </c>
    </row>
    <row r="5" spans="1:19" ht="21" x14ac:dyDescent="0.5">
      <c r="A5" s="19" t="s">
        <v>30</v>
      </c>
    </row>
    <row r="6" spans="1:19" ht="21" x14ac:dyDescent="0.5">
      <c r="A6" s="19" t="s">
        <v>31</v>
      </c>
    </row>
    <row r="8" spans="1:19" ht="21" x14ac:dyDescent="0.5">
      <c r="A8" s="19" t="s">
        <v>47</v>
      </c>
    </row>
    <row r="9" spans="1:19" ht="24" customHeight="1" x14ac:dyDescent="0.35">
      <c r="A9" s="21" t="s">
        <v>48</v>
      </c>
    </row>
    <row r="10" spans="1:19" ht="22.5" customHeight="1" x14ac:dyDescent="0.35">
      <c r="A10" s="21" t="s">
        <v>49</v>
      </c>
      <c r="G10" t="s">
        <v>266</v>
      </c>
    </row>
    <row r="13" spans="1:19" x14ac:dyDescent="0.35">
      <c r="A13" t="s">
        <v>206</v>
      </c>
    </row>
    <row r="16" spans="1:19" x14ac:dyDescent="0.35">
      <c r="J16" t="s">
        <v>262</v>
      </c>
      <c r="S16" t="s">
        <v>263</v>
      </c>
    </row>
    <row r="18" spans="8:21" ht="15" thickBot="1" x14ac:dyDescent="0.4"/>
    <row r="19" spans="8:21" ht="15" thickBot="1" x14ac:dyDescent="0.4">
      <c r="H19" s="23">
        <v>26.108963265626635</v>
      </c>
      <c r="I19" s="24">
        <v>1.948</v>
      </c>
      <c r="J19" s="25">
        <v>39.020000000000003</v>
      </c>
      <c r="K19">
        <v>7.85</v>
      </c>
      <c r="L19">
        <v>5.84</v>
      </c>
      <c r="Q19" s="23">
        <v>27.287330812353115</v>
      </c>
      <c r="R19" s="24">
        <v>13.452</v>
      </c>
      <c r="S19" s="25">
        <v>33.15</v>
      </c>
      <c r="T19">
        <v>19.64</v>
      </c>
      <c r="U19">
        <v>17.86</v>
      </c>
    </row>
    <row r="20" spans="8:21" ht="15" thickBot="1" x14ac:dyDescent="0.4">
      <c r="H20" s="23">
        <v>26.080598220791387</v>
      </c>
      <c r="I20" s="24">
        <v>2.2909999999999999</v>
      </c>
      <c r="J20" s="25">
        <v>38.909999999999997</v>
      </c>
      <c r="K20">
        <v>7.73</v>
      </c>
      <c r="L20">
        <v>6.28</v>
      </c>
      <c r="Q20" s="23">
        <v>27.433035429339736</v>
      </c>
      <c r="R20" s="24">
        <v>19.661000000000001</v>
      </c>
      <c r="S20" s="25">
        <v>32.74</v>
      </c>
      <c r="T20">
        <v>22.4</v>
      </c>
      <c r="U20">
        <v>19.61</v>
      </c>
    </row>
    <row r="21" spans="8:21" ht="15" thickBot="1" x14ac:dyDescent="0.4">
      <c r="H21" s="23">
        <v>26.172207148160084</v>
      </c>
      <c r="I21" s="24">
        <v>2.4929999999999999</v>
      </c>
      <c r="J21" s="25">
        <v>38.75</v>
      </c>
      <c r="K21">
        <v>7.65</v>
      </c>
      <c r="L21">
        <v>5.25</v>
      </c>
      <c r="Q21" s="23">
        <v>27.569422151436065</v>
      </c>
      <c r="R21" s="24">
        <v>23.242000000000001</v>
      </c>
      <c r="S21" s="25">
        <v>32.380000000000003</v>
      </c>
      <c r="T21">
        <v>24.46</v>
      </c>
      <c r="U21">
        <v>21.27</v>
      </c>
    </row>
    <row r="22" spans="8:21" ht="15" thickBot="1" x14ac:dyDescent="0.4">
      <c r="H22" s="23">
        <v>26.240662482996122</v>
      </c>
      <c r="I22" s="24">
        <v>2.4969999999999999</v>
      </c>
      <c r="J22" s="25">
        <v>38.71</v>
      </c>
      <c r="K22">
        <v>7.02</v>
      </c>
      <c r="L22">
        <v>5.2</v>
      </c>
      <c r="Q22" s="23">
        <v>27.827192520537938</v>
      </c>
      <c r="R22" s="24">
        <v>28.922000000000001</v>
      </c>
      <c r="S22" s="25">
        <v>32.01</v>
      </c>
      <c r="T22">
        <v>24.89</v>
      </c>
      <c r="U22">
        <v>20.8</v>
      </c>
    </row>
    <row r="23" spans="8:21" ht="15" thickBot="1" x14ac:dyDescent="0.4">
      <c r="H23" s="23">
        <v>26.35459798461391</v>
      </c>
      <c r="I23" s="24">
        <v>2.52</v>
      </c>
      <c r="J23" s="25">
        <v>38.58</v>
      </c>
      <c r="K23">
        <v>6.98</v>
      </c>
      <c r="L23">
        <v>5.6</v>
      </c>
      <c r="Q23" s="23">
        <v>27.812421900723301</v>
      </c>
      <c r="R23" s="24">
        <v>30.387</v>
      </c>
      <c r="S23" s="25">
        <v>31.64</v>
      </c>
      <c r="T23">
        <v>29.27</v>
      </c>
      <c r="U23">
        <v>24.1</v>
      </c>
    </row>
    <row r="24" spans="8:21" ht="15" thickBot="1" x14ac:dyDescent="0.4">
      <c r="H24" s="23">
        <v>26.415613161485624</v>
      </c>
      <c r="I24" s="24">
        <v>2.504</v>
      </c>
      <c r="J24" s="25">
        <v>38.4</v>
      </c>
      <c r="K24">
        <v>7.46</v>
      </c>
      <c r="L24">
        <v>6.04</v>
      </c>
      <c r="Q24" s="23">
        <v>27.92509765224813</v>
      </c>
      <c r="R24" s="24">
        <v>27.024999999999999</v>
      </c>
      <c r="S24" s="25">
        <v>31.24</v>
      </c>
      <c r="T24">
        <v>25.87</v>
      </c>
      <c r="U24">
        <v>20.399999999999999</v>
      </c>
    </row>
    <row r="25" spans="8:21" ht="15" thickBot="1" x14ac:dyDescent="0.4">
      <c r="H25" s="23">
        <v>26.413768372199044</v>
      </c>
      <c r="I25" s="24">
        <v>2.6</v>
      </c>
      <c r="J25" s="25">
        <v>38.19</v>
      </c>
      <c r="K25">
        <v>8.15</v>
      </c>
      <c r="L25">
        <v>7.02</v>
      </c>
      <c r="Q25" s="23">
        <v>28.147201578281397</v>
      </c>
      <c r="R25" s="24">
        <v>30.908999999999999</v>
      </c>
      <c r="S25" s="25">
        <v>30.81</v>
      </c>
      <c r="T25">
        <v>26.85</v>
      </c>
      <c r="U25">
        <v>22.4</v>
      </c>
    </row>
    <row r="26" spans="8:21" ht="15" thickBot="1" x14ac:dyDescent="0.4">
      <c r="H26" s="23">
        <v>26.494641619686462</v>
      </c>
      <c r="I26" s="24">
        <v>2.673</v>
      </c>
      <c r="J26" s="25">
        <v>37.97</v>
      </c>
      <c r="K26">
        <v>8.4499999999999993</v>
      </c>
      <c r="L26">
        <v>7.05</v>
      </c>
      <c r="Q26" s="23">
        <v>28.231531998946945</v>
      </c>
      <c r="R26" s="24">
        <v>33.450000000000003</v>
      </c>
      <c r="S26" s="25">
        <v>30.4</v>
      </c>
      <c r="T26">
        <v>31.08</v>
      </c>
      <c r="U26">
        <v>24.54</v>
      </c>
    </row>
    <row r="27" spans="8:21" ht="15" thickBot="1" x14ac:dyDescent="0.4">
      <c r="H27" s="23">
        <v>26.322077874962332</v>
      </c>
      <c r="I27" s="24">
        <v>2.3279999999999998</v>
      </c>
      <c r="J27" s="25">
        <v>37.770000000000003</v>
      </c>
      <c r="K27">
        <v>8.49</v>
      </c>
      <c r="L27">
        <v>8.49</v>
      </c>
      <c r="Q27" s="23">
        <v>28.234045461640768</v>
      </c>
      <c r="R27" s="24">
        <v>34.402000000000001</v>
      </c>
      <c r="S27" s="25">
        <v>29.93</v>
      </c>
      <c r="T27">
        <v>31.26</v>
      </c>
      <c r="U27">
        <v>24.53</v>
      </c>
    </row>
    <row r="28" spans="8:21" ht="15" thickBot="1" x14ac:dyDescent="0.4">
      <c r="H28" s="23">
        <v>26.386949771936749</v>
      </c>
      <c r="I28" s="24">
        <v>2.1760000000000002</v>
      </c>
      <c r="J28" s="25">
        <v>37.54</v>
      </c>
      <c r="K28">
        <v>9.59</v>
      </c>
      <c r="L28">
        <v>8.84</v>
      </c>
      <c r="Q28" s="23">
        <v>28.249833748650111</v>
      </c>
      <c r="R28" s="24">
        <v>32.362000000000002</v>
      </c>
      <c r="S28" s="25">
        <v>29.43</v>
      </c>
      <c r="T28">
        <v>28.41</v>
      </c>
      <c r="U28">
        <v>25.43</v>
      </c>
    </row>
    <row r="29" spans="8:21" ht="15" thickBot="1" x14ac:dyDescent="0.4">
      <c r="H29" s="23">
        <v>26.35553807058356</v>
      </c>
      <c r="I29" s="24">
        <v>2.5110000000000001</v>
      </c>
      <c r="J29" s="25">
        <v>37.29</v>
      </c>
      <c r="K29">
        <v>9.82</v>
      </c>
      <c r="L29">
        <v>9.83</v>
      </c>
      <c r="Q29" s="23">
        <v>28.343543109882685</v>
      </c>
      <c r="R29" s="24">
        <v>30.814</v>
      </c>
      <c r="S29" s="25">
        <v>28.93</v>
      </c>
      <c r="T29">
        <v>25.95</v>
      </c>
      <c r="U29">
        <v>22.97</v>
      </c>
    </row>
    <row r="30" spans="8:21" ht="15" thickBot="1" x14ac:dyDescent="0.4">
      <c r="H30" s="23">
        <v>26.514068416036146</v>
      </c>
      <c r="I30" s="24">
        <v>3.2120000000000002</v>
      </c>
      <c r="J30" s="25">
        <v>36.99</v>
      </c>
      <c r="K30">
        <v>10.19</v>
      </c>
      <c r="L30">
        <v>9.89</v>
      </c>
      <c r="Q30" s="23">
        <v>28.374665485629396</v>
      </c>
      <c r="R30" s="24">
        <v>33.079000000000001</v>
      </c>
      <c r="S30" s="25">
        <v>28.44</v>
      </c>
      <c r="T30">
        <v>22.11</v>
      </c>
      <c r="U30">
        <v>19.809999999999999</v>
      </c>
    </row>
    <row r="31" spans="8:21" ht="15" thickBot="1" x14ac:dyDescent="0.4">
      <c r="H31" s="23">
        <v>26.610152763845043</v>
      </c>
      <c r="I31" s="24">
        <v>5.0209999999999999</v>
      </c>
      <c r="J31" s="25">
        <v>36.65</v>
      </c>
      <c r="K31">
        <v>12.02</v>
      </c>
      <c r="L31">
        <v>10.84</v>
      </c>
      <c r="Q31" s="23">
        <v>28.461665929644546</v>
      </c>
      <c r="R31" s="24">
        <v>31.858000000000001</v>
      </c>
      <c r="S31" s="25">
        <v>27.93</v>
      </c>
      <c r="T31">
        <v>20.92</v>
      </c>
      <c r="U31">
        <v>19.16</v>
      </c>
    </row>
    <row r="32" spans="8:21" ht="15" thickBot="1" x14ac:dyDescent="0.4">
      <c r="H32" s="23">
        <v>26.696813466277504</v>
      </c>
      <c r="I32" s="24">
        <v>6.9009999999999998</v>
      </c>
      <c r="J32" s="25">
        <v>36.33</v>
      </c>
      <c r="K32">
        <v>11.54</v>
      </c>
      <c r="L32">
        <v>10.39</v>
      </c>
      <c r="Q32" s="23">
        <v>28.606136430331777</v>
      </c>
      <c r="R32" s="24">
        <v>31.620999999999999</v>
      </c>
      <c r="S32" s="25">
        <v>27.48</v>
      </c>
      <c r="T32">
        <v>21.95</v>
      </c>
      <c r="U32">
        <v>18.79</v>
      </c>
    </row>
    <row r="33" spans="1:21" ht="15" thickBot="1" x14ac:dyDescent="0.4">
      <c r="H33" s="23">
        <v>26.753633147301262</v>
      </c>
      <c r="I33" s="24">
        <v>8.2289999999999992</v>
      </c>
      <c r="J33" s="25">
        <v>35.97</v>
      </c>
      <c r="K33">
        <v>11.93</v>
      </c>
      <c r="L33">
        <v>10.69</v>
      </c>
      <c r="Q33" s="23">
        <v>28.625357381760317</v>
      </c>
      <c r="R33" s="24">
        <v>33.765999999999998</v>
      </c>
      <c r="S33" s="25">
        <v>27.05</v>
      </c>
      <c r="T33">
        <v>23.69</v>
      </c>
      <c r="U33">
        <v>19.93</v>
      </c>
    </row>
    <row r="34" spans="1:21" ht="15" thickBot="1" x14ac:dyDescent="0.4">
      <c r="H34" s="23">
        <v>26.76673318575585</v>
      </c>
      <c r="I34" s="24">
        <v>6.7069999999999999</v>
      </c>
      <c r="J34" s="25">
        <v>35.57</v>
      </c>
      <c r="K34">
        <v>12.68</v>
      </c>
      <c r="L34">
        <v>11.02</v>
      </c>
      <c r="Q34" s="23">
        <v>28.671846165741808</v>
      </c>
      <c r="R34" s="24">
        <v>34.173000000000002</v>
      </c>
      <c r="S34" s="25">
        <v>26.62</v>
      </c>
      <c r="T34">
        <v>21.27</v>
      </c>
      <c r="U34">
        <v>18.690000000000001</v>
      </c>
    </row>
    <row r="35" spans="1:21" ht="15" thickBot="1" x14ac:dyDescent="0.4">
      <c r="H35" s="23">
        <v>26.851924722819589</v>
      </c>
      <c r="I35" s="24">
        <v>2.62</v>
      </c>
      <c r="J35" s="25">
        <v>35.159999999999997</v>
      </c>
      <c r="K35">
        <v>13.36</v>
      </c>
      <c r="L35">
        <v>11.45</v>
      </c>
      <c r="Q35" s="23">
        <v>28.612233277545126</v>
      </c>
      <c r="R35" s="24">
        <v>33.630000000000003</v>
      </c>
      <c r="S35" s="25">
        <v>26.16</v>
      </c>
      <c r="T35">
        <v>19.100000000000001</v>
      </c>
      <c r="U35">
        <v>18.71</v>
      </c>
    </row>
    <row r="42" spans="1:21" x14ac:dyDescent="0.35">
      <c r="A42" t="s">
        <v>207</v>
      </c>
      <c r="I42" t="s">
        <v>264</v>
      </c>
      <c r="J42">
        <v>5.2910980326458827E-3</v>
      </c>
      <c r="Q42" t="s">
        <v>264</v>
      </c>
      <c r="R42">
        <v>4.3660210466768034E-3</v>
      </c>
    </row>
    <row r="43" spans="1:21" x14ac:dyDescent="0.35">
      <c r="A43" t="s">
        <v>208</v>
      </c>
    </row>
    <row r="44" spans="1:21" x14ac:dyDescent="0.35">
      <c r="A44" t="s">
        <v>209</v>
      </c>
    </row>
    <row r="45" spans="1:21" x14ac:dyDescent="0.35">
      <c r="A45" t="s">
        <v>210</v>
      </c>
    </row>
    <row r="46" spans="1:21" x14ac:dyDescent="0.35">
      <c r="A46" s="61" t="s">
        <v>229</v>
      </c>
      <c r="B46" s="61"/>
      <c r="C46" s="61"/>
      <c r="D46" s="61"/>
      <c r="E46" s="61"/>
    </row>
    <row r="47" spans="1:21" x14ac:dyDescent="0.35">
      <c r="A47" s="61"/>
      <c r="B47" s="61"/>
      <c r="C47" s="61"/>
      <c r="D47" s="61"/>
      <c r="E47" s="61"/>
      <c r="J47" t="s">
        <v>265</v>
      </c>
      <c r="K47">
        <f>J42^2/R42^2</f>
        <v>1.4686556028933229</v>
      </c>
    </row>
    <row r="50" spans="9:12" x14ac:dyDescent="0.35">
      <c r="J50" t="s">
        <v>212</v>
      </c>
      <c r="K50">
        <f>17-4-1</f>
        <v>12</v>
      </c>
    </row>
    <row r="51" spans="9:12" x14ac:dyDescent="0.35">
      <c r="J51" t="s">
        <v>213</v>
      </c>
      <c r="K51">
        <f>17-4-1</f>
        <v>12</v>
      </c>
    </row>
    <row r="54" spans="9:12" x14ac:dyDescent="0.35">
      <c r="J54" t="s">
        <v>267</v>
      </c>
      <c r="K54">
        <f>_xlfn.F.INV.RT(0.05,K50,K51)</f>
        <v>2.6866371124956863</v>
      </c>
    </row>
    <row r="57" spans="9:12" x14ac:dyDescent="0.35">
      <c r="J57">
        <f>K47</f>
        <v>1.4686556028933229</v>
      </c>
      <c r="K57" s="4" t="s">
        <v>261</v>
      </c>
      <c r="L57">
        <f>K54</f>
        <v>2.6866371124956863</v>
      </c>
    </row>
    <row r="61" spans="9:12" x14ac:dyDescent="0.35">
      <c r="I61" t="s">
        <v>268</v>
      </c>
    </row>
  </sheetData>
  <mergeCells count="1">
    <mergeCell ref="A46:E47"/>
  </mergeCells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3"/>
  <sheetViews>
    <sheetView tabSelected="1" topLeftCell="A19" workbookViewId="0">
      <selection activeCell="A39" sqref="A39:H53"/>
    </sheetView>
  </sheetViews>
  <sheetFormatPr defaultRowHeight="14.5" x14ac:dyDescent="0.35"/>
  <cols>
    <col min="7" max="7" width="12.54296875" customWidth="1"/>
    <col min="10" max="10" width="35.1796875" customWidth="1"/>
    <col min="11" max="11" width="4" customWidth="1"/>
    <col min="12" max="12" width="7.54296875" customWidth="1"/>
  </cols>
  <sheetData>
    <row r="1" spans="1:17" ht="26" x14ac:dyDescent="0.6">
      <c r="A1" s="15" t="s">
        <v>50</v>
      </c>
      <c r="B1" s="15"/>
      <c r="C1" s="15"/>
      <c r="D1" s="15"/>
      <c r="E1" s="15"/>
      <c r="F1" s="15"/>
      <c r="G1" s="15"/>
    </row>
    <row r="4" spans="1:17" ht="15" customHeight="1" x14ac:dyDescent="0.5">
      <c r="A4" s="6" t="s">
        <v>51</v>
      </c>
      <c r="B4" s="7"/>
      <c r="C4" s="7"/>
      <c r="D4" s="7"/>
      <c r="E4" s="7"/>
      <c r="F4" s="7"/>
      <c r="G4" s="7"/>
      <c r="H4" s="7"/>
      <c r="I4" s="7"/>
      <c r="J4" s="8"/>
    </row>
    <row r="5" spans="1:17" ht="21" customHeight="1" x14ac:dyDescent="0.5">
      <c r="A5" s="9"/>
      <c r="B5" s="10"/>
      <c r="C5" s="10"/>
      <c r="D5" s="10"/>
      <c r="E5" s="10"/>
      <c r="F5" s="10"/>
      <c r="G5" s="10"/>
      <c r="H5" s="10"/>
      <c r="I5" s="10"/>
      <c r="J5" s="11"/>
    </row>
    <row r="6" spans="1:17" ht="15" customHeight="1" x14ac:dyDescent="0.5">
      <c r="A6" s="9" t="s">
        <v>52</v>
      </c>
      <c r="B6" s="10"/>
      <c r="C6" s="10"/>
      <c r="D6" s="10"/>
      <c r="E6" s="10"/>
      <c r="F6" s="10"/>
      <c r="G6" s="10"/>
      <c r="H6" s="10"/>
      <c r="I6" s="10"/>
      <c r="J6" s="11"/>
    </row>
    <row r="7" spans="1:17" ht="15" customHeight="1" x14ac:dyDescent="0.5">
      <c r="A7" s="9" t="s">
        <v>53</v>
      </c>
      <c r="B7" s="10"/>
      <c r="C7" s="10"/>
      <c r="D7" s="10"/>
      <c r="E7" s="10"/>
      <c r="F7" s="10"/>
      <c r="G7" s="10"/>
      <c r="H7" s="10"/>
      <c r="I7" s="10"/>
      <c r="J7" s="11"/>
    </row>
    <row r="8" spans="1:17" ht="15" customHeight="1" x14ac:dyDescent="0.5">
      <c r="A8" s="9" t="s">
        <v>54</v>
      </c>
      <c r="B8" s="10"/>
      <c r="C8" s="10"/>
      <c r="D8" s="10"/>
      <c r="E8" s="10"/>
      <c r="F8" s="10"/>
      <c r="G8" s="10"/>
      <c r="H8" s="10"/>
      <c r="I8" s="10"/>
      <c r="J8" s="11"/>
    </row>
    <row r="9" spans="1:17" ht="15.75" customHeight="1" x14ac:dyDescent="0.5">
      <c r="A9" s="12" t="s">
        <v>55</v>
      </c>
      <c r="B9" s="13"/>
      <c r="C9" s="13"/>
      <c r="D9" s="13"/>
      <c r="E9" s="13"/>
      <c r="F9" s="13"/>
      <c r="G9" s="13"/>
      <c r="H9" s="13"/>
      <c r="I9" s="13"/>
      <c r="J9" s="14"/>
    </row>
    <row r="12" spans="1:17" ht="21" x14ac:dyDescent="0.5">
      <c r="A12" s="9" t="s">
        <v>56</v>
      </c>
      <c r="B12" s="10"/>
      <c r="C12" s="10"/>
      <c r="D12" s="10"/>
      <c r="E12" s="10"/>
      <c r="F12" s="10"/>
      <c r="G12" s="10"/>
      <c r="H12" s="10"/>
      <c r="I12" s="10"/>
      <c r="J12" s="11"/>
    </row>
    <row r="13" spans="1:17" ht="21" x14ac:dyDescent="0.5">
      <c r="A13" s="9" t="s">
        <v>57</v>
      </c>
      <c r="B13" s="10"/>
      <c r="C13" s="10"/>
      <c r="D13" s="10"/>
      <c r="E13" s="10"/>
      <c r="F13" s="10"/>
      <c r="G13" s="10"/>
      <c r="H13" s="10"/>
      <c r="I13" s="10"/>
      <c r="J13" s="11"/>
    </row>
    <row r="14" spans="1:17" ht="21" x14ac:dyDescent="0.5">
      <c r="A14" s="9" t="s">
        <v>58</v>
      </c>
      <c r="B14" s="10"/>
      <c r="C14" s="10"/>
      <c r="D14" s="10"/>
      <c r="E14" s="10"/>
      <c r="F14" s="10"/>
      <c r="G14" s="10"/>
      <c r="H14" s="10"/>
      <c r="I14" s="10"/>
      <c r="J14" s="11"/>
    </row>
    <row r="15" spans="1:17" ht="21" x14ac:dyDescent="0.5">
      <c r="A15" s="9" t="s">
        <v>59</v>
      </c>
      <c r="B15" s="10"/>
      <c r="C15" s="10"/>
      <c r="D15" s="10"/>
      <c r="E15" s="10"/>
      <c r="F15" s="10"/>
      <c r="G15" s="10"/>
      <c r="H15" s="10"/>
      <c r="I15" s="10"/>
      <c r="J15" s="11"/>
      <c r="M15" t="s">
        <v>60</v>
      </c>
      <c r="N15" t="s">
        <v>61</v>
      </c>
      <c r="O15" t="s">
        <v>62</v>
      </c>
      <c r="P15" t="s">
        <v>65</v>
      </c>
      <c r="Q15" t="s">
        <v>66</v>
      </c>
    </row>
    <row r="18" spans="1:21" x14ac:dyDescent="0.35">
      <c r="M18" t="s">
        <v>241</v>
      </c>
      <c r="R18" t="s">
        <v>243</v>
      </c>
    </row>
    <row r="19" spans="1:21" x14ac:dyDescent="0.35">
      <c r="M19" t="s">
        <v>228</v>
      </c>
      <c r="R19" t="s">
        <v>244</v>
      </c>
    </row>
    <row r="20" spans="1:21" ht="21" x14ac:dyDescent="0.5">
      <c r="A20" s="37" t="s">
        <v>235</v>
      </c>
      <c r="J20" t="s">
        <v>238</v>
      </c>
    </row>
    <row r="21" spans="1:21" ht="14.5" customHeight="1" x14ac:dyDescent="0.35">
      <c r="A21" s="100" t="s">
        <v>277</v>
      </c>
      <c r="B21" s="100"/>
      <c r="C21" s="100"/>
      <c r="D21" s="100"/>
      <c r="E21" s="100"/>
      <c r="F21" s="100"/>
      <c r="G21" s="100"/>
      <c r="H21" s="100"/>
      <c r="I21" s="100"/>
      <c r="K21" s="100" t="s">
        <v>242</v>
      </c>
      <c r="L21" s="100"/>
      <c r="M21" s="100"/>
      <c r="N21" s="100"/>
      <c r="O21" s="100"/>
      <c r="P21" s="100"/>
      <c r="Q21" s="100"/>
      <c r="R21" s="100"/>
      <c r="S21" s="100"/>
      <c r="T21" s="100"/>
      <c r="U21" s="100"/>
    </row>
    <row r="22" spans="1:21" x14ac:dyDescent="0.35">
      <c r="A22" s="100"/>
      <c r="B22" s="100"/>
      <c r="C22" s="100"/>
      <c r="D22" s="100"/>
      <c r="E22" s="100"/>
      <c r="F22" s="100"/>
      <c r="G22" s="100"/>
      <c r="H22" s="100"/>
      <c r="I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</row>
    <row r="23" spans="1:21" x14ac:dyDescent="0.35">
      <c r="A23" s="100"/>
      <c r="B23" s="100"/>
      <c r="C23" s="100"/>
      <c r="D23" s="100"/>
      <c r="E23" s="100"/>
      <c r="F23" s="100"/>
      <c r="G23" s="100"/>
      <c r="H23" s="100"/>
      <c r="I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</row>
    <row r="24" spans="1:21" x14ac:dyDescent="0.35">
      <c r="A24" s="100"/>
      <c r="B24" s="100"/>
      <c r="C24" s="100"/>
      <c r="D24" s="100"/>
      <c r="E24" s="100"/>
      <c r="F24" s="100"/>
      <c r="G24" s="100"/>
      <c r="H24" s="100"/>
      <c r="I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</row>
    <row r="25" spans="1:21" x14ac:dyDescent="0.35">
      <c r="A25" s="100"/>
      <c r="B25" s="100"/>
      <c r="C25" s="100"/>
      <c r="D25" s="100"/>
      <c r="E25" s="100"/>
      <c r="F25" s="100"/>
      <c r="G25" s="100"/>
      <c r="H25" s="100"/>
      <c r="I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</row>
    <row r="26" spans="1:21" x14ac:dyDescent="0.35">
      <c r="A26" s="100"/>
      <c r="B26" s="100"/>
      <c r="C26" s="100"/>
      <c r="D26" s="100"/>
      <c r="E26" s="100"/>
      <c r="F26" s="100"/>
      <c r="G26" s="100"/>
      <c r="H26" s="100"/>
      <c r="I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</row>
    <row r="27" spans="1:21" x14ac:dyDescent="0.35">
      <c r="A27" s="100"/>
      <c r="B27" s="100"/>
      <c r="C27" s="100"/>
      <c r="D27" s="100"/>
      <c r="E27" s="100"/>
      <c r="F27" s="100"/>
      <c r="G27" s="100"/>
      <c r="H27" s="100"/>
      <c r="I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</row>
    <row r="28" spans="1:21" x14ac:dyDescent="0.35">
      <c r="A28" s="100"/>
      <c r="B28" s="100"/>
      <c r="C28" s="100"/>
      <c r="D28" s="100"/>
      <c r="E28" s="100"/>
      <c r="F28" s="100"/>
      <c r="G28" s="100"/>
      <c r="H28" s="100"/>
      <c r="I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</row>
    <row r="29" spans="1:21" x14ac:dyDescent="0.35">
      <c r="A29" s="100"/>
      <c r="B29" s="100"/>
      <c r="C29" s="100"/>
      <c r="D29" s="100"/>
      <c r="E29" s="100"/>
      <c r="F29" s="100"/>
      <c r="G29" s="100"/>
      <c r="H29" s="100"/>
      <c r="I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</row>
    <row r="30" spans="1:21" x14ac:dyDescent="0.35">
      <c r="A30" s="100"/>
      <c r="B30" s="100"/>
      <c r="C30" s="100"/>
      <c r="D30" s="100"/>
      <c r="E30" s="100"/>
      <c r="F30" s="100"/>
      <c r="G30" s="100"/>
      <c r="H30" s="100"/>
      <c r="I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</row>
    <row r="31" spans="1:21" x14ac:dyDescent="0.35">
      <c r="A31" s="100"/>
      <c r="B31" s="100"/>
      <c r="C31" s="100"/>
      <c r="D31" s="100"/>
      <c r="E31" s="100"/>
      <c r="F31" s="100"/>
      <c r="G31" s="100"/>
      <c r="H31" s="100"/>
      <c r="I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</row>
    <row r="32" spans="1:21" x14ac:dyDescent="0.35">
      <c r="A32" s="100"/>
      <c r="B32" s="100"/>
      <c r="C32" s="100"/>
      <c r="D32" s="100"/>
      <c r="E32" s="100"/>
      <c r="F32" s="100"/>
      <c r="G32" s="100"/>
      <c r="H32" s="100"/>
      <c r="I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</row>
    <row r="33" spans="1:21" x14ac:dyDescent="0.35">
      <c r="A33" s="100"/>
      <c r="B33" s="100"/>
      <c r="C33" s="100"/>
      <c r="D33" s="100"/>
      <c r="E33" s="100"/>
      <c r="F33" s="100"/>
      <c r="G33" s="100"/>
      <c r="H33" s="100"/>
      <c r="I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</row>
    <row r="34" spans="1:21" x14ac:dyDescent="0.35">
      <c r="A34" s="100"/>
      <c r="B34" s="100"/>
      <c r="C34" s="100"/>
      <c r="D34" s="100"/>
      <c r="E34" s="100"/>
      <c r="F34" s="100"/>
      <c r="G34" s="100"/>
      <c r="H34" s="100"/>
      <c r="I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</row>
    <row r="35" spans="1:21" x14ac:dyDescent="0.35">
      <c r="A35" s="100"/>
      <c r="B35" s="100"/>
      <c r="C35" s="100"/>
      <c r="D35" s="100"/>
      <c r="E35" s="100"/>
      <c r="F35" s="100"/>
      <c r="G35" s="100"/>
      <c r="H35" s="100"/>
      <c r="I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</row>
    <row r="36" spans="1:21" x14ac:dyDescent="0.35">
      <c r="A36" s="100"/>
      <c r="B36" s="100"/>
      <c r="C36" s="100"/>
      <c r="D36" s="100"/>
      <c r="E36" s="100"/>
      <c r="F36" s="100"/>
      <c r="G36" s="100"/>
      <c r="H36" s="100"/>
      <c r="I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</row>
    <row r="38" spans="1:21" x14ac:dyDescent="0.35">
      <c r="A38" t="s">
        <v>236</v>
      </c>
    </row>
    <row r="39" spans="1:21" x14ac:dyDescent="0.35">
      <c r="A39" s="100" t="s">
        <v>237</v>
      </c>
      <c r="B39" s="100"/>
      <c r="C39" s="100"/>
      <c r="D39" s="100"/>
      <c r="E39" s="100"/>
      <c r="F39" s="100"/>
      <c r="G39" s="100"/>
      <c r="H39" s="100"/>
    </row>
    <row r="40" spans="1:21" ht="14.5" customHeight="1" x14ac:dyDescent="0.35">
      <c r="A40" s="100"/>
      <c r="B40" s="100"/>
      <c r="C40" s="100"/>
      <c r="D40" s="100"/>
      <c r="E40" s="100"/>
      <c r="F40" s="100"/>
      <c r="G40" s="100"/>
      <c r="H40" s="100"/>
      <c r="K40" t="s">
        <v>239</v>
      </c>
      <c r="L40" s="61" t="s">
        <v>240</v>
      </c>
      <c r="M40" s="61"/>
      <c r="N40" s="61"/>
      <c r="O40" s="61"/>
      <c r="P40" s="61"/>
      <c r="Q40" s="61"/>
      <c r="R40" s="61"/>
      <c r="S40" s="61"/>
    </row>
    <row r="41" spans="1:21" x14ac:dyDescent="0.35">
      <c r="A41" s="100"/>
      <c r="B41" s="100"/>
      <c r="C41" s="100"/>
      <c r="D41" s="100"/>
      <c r="E41" s="100"/>
      <c r="F41" s="100"/>
      <c r="G41" s="100"/>
      <c r="H41" s="100"/>
      <c r="L41" s="61"/>
      <c r="M41" s="61"/>
      <c r="N41" s="61"/>
      <c r="O41" s="61"/>
      <c r="P41" s="61"/>
      <c r="Q41" s="61"/>
      <c r="R41" s="61"/>
      <c r="S41" s="61"/>
    </row>
    <row r="42" spans="1:21" x14ac:dyDescent="0.35">
      <c r="A42" s="100"/>
      <c r="B42" s="100"/>
      <c r="C42" s="100"/>
      <c r="D42" s="100"/>
      <c r="E42" s="100"/>
      <c r="F42" s="100"/>
      <c r="G42" s="100"/>
      <c r="H42" s="100"/>
      <c r="L42" s="61"/>
      <c r="M42" s="61"/>
      <c r="N42" s="61"/>
      <c r="O42" s="61"/>
      <c r="P42" s="61"/>
      <c r="Q42" s="61"/>
      <c r="R42" s="61"/>
      <c r="S42" s="61"/>
    </row>
    <row r="43" spans="1:21" x14ac:dyDescent="0.35">
      <c r="A43" s="100"/>
      <c r="B43" s="100"/>
      <c r="C43" s="100"/>
      <c r="D43" s="100"/>
      <c r="E43" s="100"/>
      <c r="F43" s="100"/>
      <c r="G43" s="100"/>
      <c r="H43" s="100"/>
      <c r="L43" s="61"/>
      <c r="M43" s="61"/>
      <c r="N43" s="61"/>
      <c r="O43" s="61"/>
      <c r="P43" s="61"/>
      <c r="Q43" s="61"/>
      <c r="R43" s="61"/>
      <c r="S43" s="61"/>
    </row>
    <row r="44" spans="1:21" x14ac:dyDescent="0.35">
      <c r="A44" s="100"/>
      <c r="B44" s="100"/>
      <c r="C44" s="100"/>
      <c r="D44" s="100"/>
      <c r="E44" s="100"/>
      <c r="F44" s="100"/>
      <c r="G44" s="100"/>
      <c r="H44" s="100"/>
      <c r="L44" s="61"/>
      <c r="M44" s="61"/>
      <c r="N44" s="61"/>
      <c r="O44" s="61"/>
      <c r="P44" s="61"/>
      <c r="Q44" s="61"/>
      <c r="R44" s="61"/>
      <c r="S44" s="61"/>
    </row>
    <row r="45" spans="1:21" x14ac:dyDescent="0.35">
      <c r="A45" s="100"/>
      <c r="B45" s="100"/>
      <c r="C45" s="100"/>
      <c r="D45" s="100"/>
      <c r="E45" s="100"/>
      <c r="F45" s="100"/>
      <c r="G45" s="100"/>
      <c r="H45" s="100"/>
      <c r="L45" s="61"/>
      <c r="M45" s="61"/>
      <c r="N45" s="61"/>
      <c r="O45" s="61"/>
      <c r="P45" s="61"/>
      <c r="Q45" s="61"/>
      <c r="R45" s="61"/>
      <c r="S45" s="61"/>
    </row>
    <row r="46" spans="1:21" x14ac:dyDescent="0.35">
      <c r="A46" s="100"/>
      <c r="B46" s="100"/>
      <c r="C46" s="100"/>
      <c r="D46" s="100"/>
      <c r="E46" s="100"/>
      <c r="F46" s="100"/>
      <c r="G46" s="100"/>
      <c r="H46" s="100"/>
      <c r="L46" s="61"/>
      <c r="M46" s="61"/>
      <c r="N46" s="61"/>
      <c r="O46" s="61"/>
      <c r="P46" s="61"/>
      <c r="Q46" s="61"/>
      <c r="R46" s="61"/>
      <c r="S46" s="61"/>
    </row>
    <row r="47" spans="1:21" x14ac:dyDescent="0.35">
      <c r="A47" s="100"/>
      <c r="B47" s="100"/>
      <c r="C47" s="100"/>
      <c r="D47" s="100"/>
      <c r="E47" s="100"/>
      <c r="F47" s="100"/>
      <c r="G47" s="100"/>
      <c r="H47" s="100"/>
      <c r="L47" s="61"/>
      <c r="M47" s="61"/>
      <c r="N47" s="61"/>
      <c r="O47" s="61"/>
      <c r="P47" s="61"/>
      <c r="Q47" s="61"/>
      <c r="R47" s="61"/>
      <c r="S47" s="61"/>
    </row>
    <row r="48" spans="1:21" x14ac:dyDescent="0.35">
      <c r="A48" s="100"/>
      <c r="B48" s="100"/>
      <c r="C48" s="100"/>
      <c r="D48" s="100"/>
      <c r="E48" s="100"/>
      <c r="F48" s="100"/>
      <c r="G48" s="100"/>
      <c r="H48" s="100"/>
      <c r="L48" s="61"/>
      <c r="M48" s="61"/>
      <c r="N48" s="61"/>
      <c r="O48" s="61"/>
      <c r="P48" s="61"/>
      <c r="Q48" s="61"/>
      <c r="R48" s="61"/>
      <c r="S48" s="61"/>
    </row>
    <row r="49" spans="1:19" x14ac:dyDescent="0.35">
      <c r="A49" s="100"/>
      <c r="B49" s="100"/>
      <c r="C49" s="100"/>
      <c r="D49" s="100"/>
      <c r="E49" s="100"/>
      <c r="F49" s="100"/>
      <c r="G49" s="100"/>
      <c r="H49" s="100"/>
      <c r="L49" s="61"/>
      <c r="M49" s="61"/>
      <c r="N49" s="61"/>
      <c r="O49" s="61"/>
      <c r="P49" s="61"/>
      <c r="Q49" s="61"/>
      <c r="R49" s="61"/>
      <c r="S49" s="61"/>
    </row>
    <row r="50" spans="1:19" x14ac:dyDescent="0.35">
      <c r="A50" s="100"/>
      <c r="B50" s="100"/>
      <c r="C50" s="100"/>
      <c r="D50" s="100"/>
      <c r="E50" s="100"/>
      <c r="F50" s="100"/>
      <c r="G50" s="100"/>
      <c r="H50" s="100"/>
      <c r="L50" s="61"/>
      <c r="M50" s="61"/>
      <c r="N50" s="61"/>
      <c r="O50" s="61"/>
      <c r="P50" s="61"/>
      <c r="Q50" s="61"/>
      <c r="R50" s="61"/>
      <c r="S50" s="61"/>
    </row>
    <row r="51" spans="1:19" x14ac:dyDescent="0.35">
      <c r="A51" s="100"/>
      <c r="B51" s="100"/>
      <c r="C51" s="100"/>
      <c r="D51" s="100"/>
      <c r="E51" s="100"/>
      <c r="F51" s="100"/>
      <c r="G51" s="100"/>
      <c r="H51" s="100"/>
      <c r="L51" s="61"/>
      <c r="M51" s="61"/>
      <c r="N51" s="61"/>
      <c r="O51" s="61"/>
      <c r="P51" s="61"/>
      <c r="Q51" s="61"/>
      <c r="R51" s="61"/>
      <c r="S51" s="61"/>
    </row>
    <row r="52" spans="1:19" x14ac:dyDescent="0.35">
      <c r="A52" s="100"/>
      <c r="B52" s="100"/>
      <c r="C52" s="100"/>
      <c r="D52" s="100"/>
      <c r="E52" s="100"/>
      <c r="F52" s="100"/>
      <c r="G52" s="100"/>
      <c r="H52" s="100"/>
      <c r="L52" s="61"/>
      <c r="M52" s="61"/>
      <c r="N52" s="61"/>
      <c r="O52" s="61"/>
      <c r="P52" s="61"/>
      <c r="Q52" s="61"/>
      <c r="R52" s="61"/>
      <c r="S52" s="61"/>
    </row>
    <row r="53" spans="1:19" x14ac:dyDescent="0.35">
      <c r="A53" s="100"/>
      <c r="B53" s="100"/>
      <c r="C53" s="100"/>
      <c r="D53" s="100"/>
      <c r="E53" s="100"/>
      <c r="F53" s="100"/>
      <c r="G53" s="100"/>
      <c r="H53" s="100"/>
      <c r="L53" s="61"/>
      <c r="M53" s="61"/>
      <c r="N53" s="61"/>
      <c r="O53" s="61"/>
      <c r="P53" s="61"/>
      <c r="Q53" s="61"/>
      <c r="R53" s="61"/>
      <c r="S53" s="61"/>
    </row>
  </sheetData>
  <mergeCells count="4">
    <mergeCell ref="A39:H53"/>
    <mergeCell ref="K21:U36"/>
    <mergeCell ref="L40:S53"/>
    <mergeCell ref="A21:I3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F6B94ADE111C48BF45439C2B48D27D" ma:contentTypeVersion="3" ma:contentTypeDescription="Utwórz nowy dokument." ma:contentTypeScope="" ma:versionID="2649418cfd7581f22801b699cab46e1d">
  <xsd:schema xmlns:xsd="http://www.w3.org/2001/XMLSchema" xmlns:xs="http://www.w3.org/2001/XMLSchema" xmlns:p="http://schemas.microsoft.com/office/2006/metadata/properties" xmlns:ns2="d48ba55b-621e-4fc8-8e9d-0f2f6a541f0c" targetNamespace="http://schemas.microsoft.com/office/2006/metadata/properties" ma:root="true" ma:fieldsID="6b42bd74022d85c7a36141b59efece0c" ns2:_="">
    <xsd:import namespace="d48ba55b-621e-4fc8-8e9d-0f2f6a541f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ba55b-621e-4fc8-8e9d-0f2f6a541f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80232E-D777-4A6B-901B-1C9AE6793D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85CE5A-B173-4E8A-AD92-1814BB42A8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8ba55b-621e-4fc8-8e9d-0f2f6a541f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EDEC65-456D-4E8C-A92C-25CACC62DCD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12</vt:i4>
      </vt:variant>
    </vt:vector>
  </HeadingPairs>
  <TitlesOfParts>
    <vt:vector size="12" baseType="lpstr">
      <vt:lpstr>Dane</vt:lpstr>
      <vt:lpstr>1. Opis danych</vt:lpstr>
      <vt:lpstr>2. Dobór zmiennych</vt:lpstr>
      <vt:lpstr>3a. Obserwacje nietypowe</vt:lpstr>
      <vt:lpstr>3b. Współliniowość</vt:lpstr>
      <vt:lpstr>4. Istotność parametrów</vt:lpstr>
      <vt:lpstr>5. Dopasowanie modelu do danych</vt:lpstr>
      <vt:lpstr>6. Badanie losowości</vt:lpstr>
      <vt:lpstr>7. Badanie normalności</vt:lpstr>
      <vt:lpstr>8. Badanie braku autokorelacji </vt:lpstr>
      <vt:lpstr>9. Badanie homoskedastyczności</vt:lpstr>
      <vt:lpstr>10. WNIOSKI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Kacper Grzeszyk</cp:lastModifiedBy>
  <cp:revision/>
  <dcterms:created xsi:type="dcterms:W3CDTF">2016-11-12T11:16:02Z</dcterms:created>
  <dcterms:modified xsi:type="dcterms:W3CDTF">2025-11-01T11:47:19Z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0x01010006F6B94ADE111C48BF45439C2B48D27D</vt:lpwstr>
  </property>
</Properties>
</file>